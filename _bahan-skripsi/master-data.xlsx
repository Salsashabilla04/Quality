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4.xml" ContentType="application/vnd.openxmlformats-officedocument.drawing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5.xml" ContentType="application/vnd.openxmlformats-officedocument.drawing+xml"/>
  <Override PartName="/xl/charts/chartEx1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6.xml" ContentType="application/vnd.openxmlformats-officedocument.drawing+xml"/>
  <Override PartName="/xl/charts/chartEx1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7.xml" ContentType="application/vnd.openxmlformats-officedocument.drawing+xml"/>
  <Override PartName="/xl/charts/chartEx1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8.xml" ContentType="application/vnd.openxmlformats-officedocument.drawing+xml"/>
  <Override PartName="/xl/charts/chartEx1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9.xml" ContentType="application/vnd.openxmlformats-officedocument.drawing+xml"/>
  <Override PartName="/xl/charts/chartEx1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20.xml" ContentType="application/vnd.openxmlformats-officedocument.drawing+xml"/>
  <Override PartName="/xl/charts/chartEx16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21.xml" ContentType="application/vnd.openxmlformats-officedocument.drawing+xml"/>
  <Override PartName="/xl/charts/chartEx17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drawings/drawing22.xml" ContentType="application/vnd.openxmlformats-officedocument.drawing+xml"/>
  <Override PartName="/xl/charts/chartEx18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23.xml" ContentType="application/vnd.openxmlformats-officedocument.drawing+xml"/>
  <Override PartName="/xl/charts/chartEx19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drawings/drawing24.xml" ContentType="application/vnd.openxmlformats-officedocument.drawing+xml"/>
  <Override PartName="/xl/charts/chartEx20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drawings/drawing25.xml" ContentType="application/vnd.openxmlformats-officedocument.drawing+xml"/>
  <Override PartName="/xl/charts/chartEx21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drawings/drawing26.xml" ContentType="application/vnd.openxmlformats-officedocument.drawing+xml"/>
  <Override PartName="/xl/charts/chartEx22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drawings/drawing27.xml" ContentType="application/vnd.openxmlformats-officedocument.drawing+xml"/>
  <Override PartName="/xl/charts/chartEx23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drawings/drawing28.xml" ContentType="application/vnd.openxmlformats-officedocument.drawing+xml"/>
  <Override PartName="/xl/charts/chartEx24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drawings/drawing29.xml" ContentType="application/vnd.openxmlformats-officedocument.drawing+xml"/>
  <Override PartName="/xl/charts/chartEx25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drawings/drawing30.xml" ContentType="application/vnd.openxmlformats-officedocument.drawing+xml"/>
  <Override PartName="/xl/charts/chartEx26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tikode/Downloads/final _apriori/"/>
    </mc:Choice>
  </mc:AlternateContent>
  <xr:revisionPtr revIDLastSave="0" documentId="13_ncr:1_{5CB41346-7041-674D-9B94-2C68134CA84F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Daftar CCR quality" sheetId="1" r:id="rId1"/>
    <sheet name="Grafik tahunan" sheetId="53" r:id="rId2"/>
    <sheet name="Grafik Cust des quality " sheetId="52" r:id="rId3"/>
    <sheet name="Grafik Defect Dec quality " sheetId="51" r:id="rId4"/>
    <sheet name="Grafik Defect Nov quality (2)" sheetId="50" r:id="rId5"/>
    <sheet name="Grafik Cust Nov quality  (2)" sheetId="49" r:id="rId6"/>
    <sheet name="Daftar CCR Warehouse (2)" sheetId="26" r:id="rId7"/>
    <sheet name="Daftar CCR servise (3)" sheetId="27" r:id="rId8"/>
    <sheet name="Grafik Cust Oct quality " sheetId="48" r:id="rId9"/>
    <sheet name="Grafik Defect Oct quality" sheetId="47" r:id="rId10"/>
    <sheet name="Grafik Defect Sep quality " sheetId="46" r:id="rId11"/>
    <sheet name="Grafik Cust Sep quality  " sheetId="45" r:id="rId12"/>
    <sheet name="Grafik cust Aug quality  " sheetId="44" r:id="rId13"/>
    <sheet name="Grafik Defect Aug quality" sheetId="43" r:id="rId14"/>
    <sheet name="Grafik cust Juli quality  (2)" sheetId="42" r:id="rId15"/>
    <sheet name="Grafik Defect Juli quality" sheetId="41" r:id="rId16"/>
    <sheet name="Grafik cust Juli quality " sheetId="40" r:id="rId17"/>
    <sheet name="Grafik cust Juni quality " sheetId="39" r:id="rId18"/>
    <sheet name="Grafik Defect Juni quality" sheetId="38" r:id="rId19"/>
    <sheet name="Grafik Defect Mei quality" sheetId="37" r:id="rId20"/>
    <sheet name="Grafik cust Mei quality" sheetId="36" r:id="rId21"/>
    <sheet name="Grafik cust Mar quality (2)" sheetId="33" r:id="rId22"/>
    <sheet name="Grafik defect Mar quality" sheetId="31" r:id="rId23"/>
    <sheet name="Grafik Cust Mar WH (3)" sheetId="35" r:id="rId24"/>
    <sheet name="Grafik defect Apr WH (2)" sheetId="34" r:id="rId25"/>
    <sheet name="Grafik defect feb quality" sheetId="30" r:id="rId26"/>
    <sheet name="Grafik defect Januari quali (2)" sheetId="25" r:id="rId27"/>
    <sheet name="Grafik defect Jan WH" sheetId="29" r:id="rId28"/>
    <sheet name="Grafik defect Januari (3)" sheetId="28" r:id="rId29"/>
    <sheet name="Grafik Cust Januari" sheetId="12" r:id="rId30"/>
  </sheets>
  <definedNames>
    <definedName name="_xlnm._FilterDatabase" localSheetId="0" hidden="1">'Daftar CCR quality'!$A$4:$P$214</definedName>
    <definedName name="_xlnm._FilterDatabase" localSheetId="7" hidden="1">'Daftar CCR servise (3)'!$A$4:$O$127</definedName>
    <definedName name="_xlnm._FilterDatabase" localSheetId="6" hidden="1">'Daftar CCR Warehouse (2)'!$A$4:$O$123</definedName>
    <definedName name="_xlchart.v1.0" hidden="1">'Grafik Cust des quality '!$A$3:$A$11</definedName>
    <definedName name="_xlchart.v1.1" hidden="1">'Grafik Cust des quality '!$B$2</definedName>
    <definedName name="_xlchart.v1.10" hidden="1">'Grafik Cust Nov quality  (2)'!$B$2</definedName>
    <definedName name="_xlchart.v1.11" hidden="1">'Grafik Cust Nov quality  (2)'!$B$3:$B$8</definedName>
    <definedName name="_xlchart.v1.12" hidden="1">'Grafik Cust Oct quality '!$A$3:$A$11</definedName>
    <definedName name="_xlchart.v1.13" hidden="1">'Grafik Cust Oct quality '!$B$2</definedName>
    <definedName name="_xlchart.v1.14" hidden="1">'Grafik Cust Oct quality '!$B$3:$B$11</definedName>
    <definedName name="_xlchart.v1.15" hidden="1">'Grafik Defect Oct quality'!$A$3:$A$12</definedName>
    <definedName name="_xlchart.v1.16" hidden="1">'Grafik Defect Oct quality'!$B$2</definedName>
    <definedName name="_xlchart.v1.17" hidden="1">'Grafik Defect Oct quality'!$B$3:$B$12</definedName>
    <definedName name="_xlchart.v1.18" hidden="1">'Grafik Defect Sep quality '!$A$3:$A$12</definedName>
    <definedName name="_xlchart.v1.19" hidden="1">'Grafik Defect Sep quality '!$B$2</definedName>
    <definedName name="_xlchart.v1.2" hidden="1">'Grafik Cust des quality '!$B$3:$B$11</definedName>
    <definedName name="_xlchart.v1.20" hidden="1">'Grafik Defect Sep quality '!$B$3:$B$12</definedName>
    <definedName name="_xlchart.v1.21" hidden="1">'Grafik Cust Sep quality  '!$A$3:$A$10</definedName>
    <definedName name="_xlchart.v1.22" hidden="1">'Grafik Cust Sep quality  '!$B$2</definedName>
    <definedName name="_xlchart.v1.23" hidden="1">'Grafik Cust Sep quality  '!$B$3:$B$10</definedName>
    <definedName name="_xlchart.v1.24" hidden="1">'Grafik cust Aug quality  '!$A$3:$A$12</definedName>
    <definedName name="_xlchart.v1.25" hidden="1">'Grafik cust Aug quality  '!$B$2</definedName>
    <definedName name="_xlchart.v1.26" hidden="1">'Grafik cust Aug quality  '!$B$3:$B$12</definedName>
    <definedName name="_xlchart.v1.27" hidden="1">'Grafik Defect Aug quality'!$A$3:$A$13</definedName>
    <definedName name="_xlchart.v1.28" hidden="1">'Grafik Defect Aug quality'!$B$2</definedName>
    <definedName name="_xlchart.v1.29" hidden="1">'Grafik Defect Aug quality'!$B$3:$B$13</definedName>
    <definedName name="_xlchart.v1.3" hidden="1">'Grafik Defect Dec quality '!$A$3:$A$11</definedName>
    <definedName name="_xlchart.v1.30" hidden="1">'Grafik cust Juli quality  (2)'!$A$3:$A$12</definedName>
    <definedName name="_xlchart.v1.31" hidden="1">'Grafik cust Juli quality  (2)'!$B$2</definedName>
    <definedName name="_xlchart.v1.32" hidden="1">'Grafik cust Juli quality  (2)'!$B$3:$B$12</definedName>
    <definedName name="_xlchart.v1.33" hidden="1">'Grafik Defect Juli quality'!$A$3:$A$15</definedName>
    <definedName name="_xlchart.v1.34" hidden="1">'Grafik Defect Juli quality'!$B$2</definedName>
    <definedName name="_xlchart.v1.35" hidden="1">'Grafik Defect Juli quality'!$B$3:$B$15</definedName>
    <definedName name="_xlchart.v1.36" hidden="1">'Grafik cust Juli quality '!$A$3:$A$12</definedName>
    <definedName name="_xlchart.v1.37" hidden="1">'Grafik cust Juli quality '!$B$2</definedName>
    <definedName name="_xlchart.v1.38" hidden="1">'Grafik cust Juli quality '!$B$3:$B$12</definedName>
    <definedName name="_xlchart.v1.39" hidden="1">'Grafik cust Juni quality '!$A$3:$A$8</definedName>
    <definedName name="_xlchart.v1.4" hidden="1">'Grafik Defect Dec quality '!$B$2</definedName>
    <definedName name="_xlchart.v1.40" hidden="1">'Grafik cust Juni quality '!$B$2</definedName>
    <definedName name="_xlchart.v1.41" hidden="1">'Grafik cust Juni quality '!$B$3:$B$8</definedName>
    <definedName name="_xlchart.v1.42" hidden="1">'Grafik Defect Juni quality'!$A$3:$A$6</definedName>
    <definedName name="_xlchart.v1.43" hidden="1">'Grafik Defect Juni quality'!$B$2</definedName>
    <definedName name="_xlchart.v1.44" hidden="1">'Grafik Defect Juni quality'!$B$3:$B$6</definedName>
    <definedName name="_xlchart.v1.45" hidden="1">'Grafik Defect Mei quality'!$A$3:$A$11</definedName>
    <definedName name="_xlchart.v1.46" hidden="1">'Grafik Defect Mei quality'!$B$2</definedName>
    <definedName name="_xlchart.v1.47" hidden="1">'Grafik Defect Mei quality'!$B$3:$B$11</definedName>
    <definedName name="_xlchart.v1.48" hidden="1">'Grafik cust Mei quality'!$A$3:$A$8</definedName>
    <definedName name="_xlchart.v1.49" hidden="1">'Grafik cust Mei quality'!$B$2</definedName>
    <definedName name="_xlchart.v1.5" hidden="1">'Grafik Defect Dec quality '!$B$3:$B$11</definedName>
    <definedName name="_xlchart.v1.50" hidden="1">'Grafik cust Mei quality'!$B$3:$B$8</definedName>
    <definedName name="_xlchart.v1.51" hidden="1">'Grafik cust Mar quality (2)'!$A$3:$A$11</definedName>
    <definedName name="_xlchart.v1.52" hidden="1">'Grafik cust Mar quality (2)'!$B$2</definedName>
    <definedName name="_xlchart.v1.53" hidden="1">'Grafik cust Mar quality (2)'!$B$3:$B$11</definedName>
    <definedName name="_xlchart.v1.54" hidden="1">'Grafik defect Mar quality'!$A$3:$A$12</definedName>
    <definedName name="_xlchart.v1.55" hidden="1">'Grafik defect Mar quality'!$B$2</definedName>
    <definedName name="_xlchart.v1.56" hidden="1">'Grafik defect Mar quality'!$B$3:$B$12</definedName>
    <definedName name="_xlchart.v1.57" hidden="1">'Grafik Cust Mar WH (3)'!$A$3:$A$5</definedName>
    <definedName name="_xlchart.v1.58" hidden="1">'Grafik Cust Mar WH (3)'!$B$2</definedName>
    <definedName name="_xlchart.v1.59" hidden="1">'Grafik Cust Mar WH (3)'!$B$3:$B$5</definedName>
    <definedName name="_xlchart.v1.6" hidden="1">'Grafik Defect Nov quality (2)'!$A$3:$A$10</definedName>
    <definedName name="_xlchart.v1.60" hidden="1">'Grafik defect Apr WH (2)'!$A$3:$A$6</definedName>
    <definedName name="_xlchart.v1.61" hidden="1">'Grafik defect Apr WH (2)'!$B$2</definedName>
    <definedName name="_xlchart.v1.62" hidden="1">'Grafik defect Apr WH (2)'!$B$3:$B$6</definedName>
    <definedName name="_xlchart.v1.63" hidden="1">'Grafik defect feb quality'!$A$3:$A$6</definedName>
    <definedName name="_xlchart.v1.64" hidden="1">'Grafik defect feb quality'!$B$2</definedName>
    <definedName name="_xlchart.v1.65" hidden="1">'Grafik defect feb quality'!$B$3:$B$6</definedName>
    <definedName name="_xlchart.v1.66" hidden="1">'Grafik defect Januari quali (2)'!$A$3:$A$10</definedName>
    <definedName name="_xlchart.v1.67" hidden="1">'Grafik defect Januari quali (2)'!$B$2</definedName>
    <definedName name="_xlchart.v1.68" hidden="1">'Grafik defect Januari quali (2)'!$B$3:$B$10</definedName>
    <definedName name="_xlchart.v1.69" hidden="1">'Grafik defect Jan WH'!$A$3:$A$6</definedName>
    <definedName name="_xlchart.v1.7" hidden="1">'Grafik Defect Nov quality (2)'!$B$2</definedName>
    <definedName name="_xlchart.v1.70" hidden="1">'Grafik defect Jan WH'!$B$2</definedName>
    <definedName name="_xlchart.v1.71" hidden="1">'Grafik defect Jan WH'!$B$3:$B$6</definedName>
    <definedName name="_xlchart.v1.72" hidden="1">'Grafik defect Januari (3)'!$A$3:$A$7</definedName>
    <definedName name="_xlchart.v1.73" hidden="1">'Grafik defect Januari (3)'!$B$2</definedName>
    <definedName name="_xlchart.v1.74" hidden="1">'Grafik defect Januari (3)'!$B$3:$B$7</definedName>
    <definedName name="_xlchart.v1.75" hidden="1">'Grafik Cust Januari'!$A$3:$A$13</definedName>
    <definedName name="_xlchart.v1.76" hidden="1">'Grafik Cust Januari'!$B$2</definedName>
    <definedName name="_xlchart.v1.77" hidden="1">'Grafik Cust Januari'!$B$3:$B$13</definedName>
    <definedName name="_xlchart.v1.8" hidden="1">'Grafik Defect Nov quality (2)'!$B$3:$B$10</definedName>
    <definedName name="_xlchart.v1.9" hidden="1">'Grafik Cust Nov quality  (2)'!$A$3:$A$8</definedName>
    <definedName name="_xlnm.Print_Area" localSheetId="0">'Daftar CCR quality'!$A$1:$O$168</definedName>
    <definedName name="_xlnm.Print_Area" localSheetId="7">'Daftar CCR servise (3)'!$C$1:$N$181</definedName>
    <definedName name="_xlnm.Print_Area" localSheetId="6">'Daftar CCR Warehouse (2)'!$C$1:$K$177</definedName>
    <definedName name="_xlnm.Print_Area" localSheetId="12">'Grafik cust Aug quality  '!$A$1:$H$22</definedName>
    <definedName name="_xlnm.Print_Area" localSheetId="2">'Grafik Cust des quality '!$A$1:$H$21</definedName>
    <definedName name="_xlnm.Print_Area" localSheetId="16">'Grafik cust Juli quality '!$A$1:$H$22</definedName>
    <definedName name="_xlnm.Print_Area" localSheetId="14">'Grafik cust Juli quality  (2)'!$A$1:$H$22</definedName>
    <definedName name="_xlnm.Print_Area" localSheetId="17">'Grafik cust Juni quality '!$A$1:$H$18</definedName>
    <definedName name="_xlnm.Print_Area" localSheetId="21">'Grafik cust Mar quality (2)'!$A$1:$H$21</definedName>
    <definedName name="_xlnm.Print_Area" localSheetId="23">'Grafik Cust Mar WH (3)'!$A$1:$H$15</definedName>
    <definedName name="_xlnm.Print_Area" localSheetId="20">'Grafik cust Mei quality'!$A$1:$H$18</definedName>
    <definedName name="_xlnm.Print_Area" localSheetId="5">'Grafik Cust Nov quality  (2)'!$A$1:$H$18</definedName>
    <definedName name="_xlnm.Print_Area" localSheetId="8">'Grafik Cust Oct quality '!$A$1:$H$21</definedName>
    <definedName name="_xlnm.Print_Area" localSheetId="11">'Grafik Cust Sep quality  '!$A$1:$H$20</definedName>
    <definedName name="_xlnm.Print_Area" localSheetId="24">'Grafik defect Apr WH (2)'!$A$1:$H$16</definedName>
    <definedName name="_xlnm.Print_Area" localSheetId="13">'Grafik Defect Aug quality'!$A$1:$H$23</definedName>
    <definedName name="_xlnm.Print_Area" localSheetId="3">'Grafik Defect Dec quality '!$A$1:$H$21</definedName>
    <definedName name="_xlnm.Print_Area" localSheetId="25">'Grafik defect feb quality'!$A$1:$H$16</definedName>
    <definedName name="_xlnm.Print_Area" localSheetId="27">'Grafik defect Jan WH'!$A$1:$J$16</definedName>
    <definedName name="_xlnm.Print_Area" localSheetId="15">'Grafik Defect Juli quality'!$A$1:$H$25</definedName>
    <definedName name="_xlnm.Print_Area" localSheetId="18">'Grafik Defect Juni quality'!$A$1:$H$16</definedName>
    <definedName name="_xlnm.Print_Area" localSheetId="22">'Grafik defect Mar quality'!$A$1:$H$22</definedName>
    <definedName name="_xlnm.Print_Area" localSheetId="19">'Grafik Defect Mei quality'!$A$1:$H$21</definedName>
    <definedName name="_xlnm.Print_Area" localSheetId="4">'Grafik Defect Nov quality (2)'!$A$1:$H$20</definedName>
    <definedName name="_xlnm.Print_Area" localSheetId="9">'Grafik Defect Oct quality'!$A$1:$H$22</definedName>
    <definedName name="_xlnm.Print_Area" localSheetId="10">'Grafik Defect Sep quality '!$A$1:$H$22</definedName>
    <definedName name="_xlnm.Print_Area" localSheetId="1">'Grafik tahunan'!$A$1:$H$24</definedName>
    <definedName name="_xlnm.Print_Titles" localSheetId="0">'Daftar CCR quality'!$1:$4</definedName>
    <definedName name="_xlnm.Print_Titles" localSheetId="7">'Daftar CCR servise (3)'!$4:$4</definedName>
    <definedName name="_xlnm.Print_Titles" localSheetId="6">'Daftar CCR Warehouse (2)'!$4:$4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3" l="1"/>
  <c r="B15" i="53"/>
  <c r="B12" i="52"/>
  <c r="B12" i="51"/>
  <c r="B11" i="50" l="1"/>
  <c r="B9" i="49"/>
  <c r="F184" i="1"/>
  <c r="B12" i="48" l="1"/>
  <c r="B13" i="47"/>
  <c r="F105" i="1" l="1"/>
  <c r="B13" i="46" l="1"/>
  <c r="B11" i="45"/>
  <c r="F155" i="1"/>
  <c r="B13" i="44" l="1"/>
  <c r="B14" i="43" l="1"/>
  <c r="F130" i="1" l="1"/>
  <c r="B13" i="42" l="1"/>
  <c r="B16" i="41" l="1"/>
  <c r="B30" i="26" l="1"/>
  <c r="B13" i="40"/>
  <c r="B103" i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l="1"/>
  <c r="B117" i="1" s="1"/>
  <c r="B118" i="1" s="1"/>
  <c r="B119" i="1" s="1"/>
  <c r="B9" i="39"/>
  <c r="B7" i="38"/>
  <c r="B12" i="37"/>
  <c r="B9" i="36"/>
  <c r="F65" i="1"/>
  <c r="B6" i="35" l="1"/>
  <c r="B7" i="34"/>
  <c r="B12" i="33" l="1"/>
  <c r="F57" i="1"/>
  <c r="B13" i="31" l="1"/>
  <c r="M38" i="1" l="1"/>
  <c r="M32" i="1"/>
  <c r="B7" i="30" l="1"/>
  <c r="B7" i="29"/>
  <c r="B8" i="28"/>
  <c r="B11" i="25" l="1"/>
  <c r="B14" i="1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<sst xmlns="http://schemas.openxmlformats.org/spreadsheetml/2006/main" count="2121" uniqueCount="1012">
  <si>
    <t xml:space="preserve">Customer </t>
  </si>
  <si>
    <t xml:space="preserve">Ketidaksesuaian </t>
  </si>
  <si>
    <t>Penyebab</t>
  </si>
  <si>
    <t>76 x 2.7 x 1000</t>
  </si>
  <si>
    <t>Corrective Action</t>
  </si>
  <si>
    <t>Preventive action</t>
  </si>
  <si>
    <t xml:space="preserve">Tukar guling </t>
  </si>
  <si>
    <t xml:space="preserve">Tgl Complain </t>
  </si>
  <si>
    <t xml:space="preserve"> </t>
  </si>
  <si>
    <t>SAP</t>
  </si>
  <si>
    <t>Qty (pcs)</t>
  </si>
  <si>
    <t>-</t>
  </si>
  <si>
    <t>Tgl Kirim</t>
  </si>
  <si>
    <t>Mesin</t>
  </si>
  <si>
    <t>Ukuran (mm)</t>
  </si>
  <si>
    <t>Tgl Finishing</t>
  </si>
  <si>
    <t>T3</t>
  </si>
  <si>
    <t>T10</t>
  </si>
  <si>
    <t>T13</t>
  </si>
  <si>
    <t>Overlap</t>
  </si>
  <si>
    <t>Jumlah  Complain</t>
  </si>
  <si>
    <t xml:space="preserve">Keterangan </t>
  </si>
  <si>
    <t>T12</t>
  </si>
  <si>
    <t>T4</t>
  </si>
  <si>
    <t>Tolerance L -0/+ 1 mm</t>
  </si>
  <si>
    <t>Tolerance L -0/+0.5 mm diubah jadi +1</t>
  </si>
  <si>
    <t xml:space="preserve">Frekuensi </t>
  </si>
  <si>
    <t>FC Low</t>
  </si>
  <si>
    <t>Unstuck</t>
  </si>
  <si>
    <t>Meiwa</t>
  </si>
  <si>
    <t>NO</t>
  </si>
  <si>
    <t>28 Juni</t>
  </si>
  <si>
    <t>15 Mei</t>
  </si>
  <si>
    <t>W4</t>
  </si>
  <si>
    <t>BU: 10 ply S3 500 + Kraft, after drying mc 7,5 - 9,6 % dan redryinh</t>
  </si>
  <si>
    <t>Betawi</t>
  </si>
  <si>
    <t>22 Mei</t>
  </si>
  <si>
    <t>Tukar guling</t>
  </si>
  <si>
    <t>3 x 7 x 340</t>
  </si>
  <si>
    <t>10 Juli</t>
  </si>
  <si>
    <t xml:space="preserve">  </t>
  </si>
  <si>
    <t>Tukar Guling</t>
  </si>
  <si>
    <t xml:space="preserve">Tukar Guling </t>
  </si>
  <si>
    <t>24 x 4 x 70</t>
  </si>
  <si>
    <t>tukar guling</t>
  </si>
  <si>
    <t xml:space="preserve">Mengelupas </t>
  </si>
  <si>
    <t>Potongan berserabut</t>
  </si>
  <si>
    <t>78 x 15 x 2000</t>
  </si>
  <si>
    <t>ID sempit</t>
  </si>
  <si>
    <t>w4</t>
  </si>
  <si>
    <t xml:space="preserve">   </t>
  </si>
  <si>
    <t>Fitrina Deswanti</t>
  </si>
  <si>
    <t>Bulan</t>
  </si>
  <si>
    <t>Plasindo</t>
  </si>
  <si>
    <t xml:space="preserve">Pencapaian </t>
  </si>
  <si>
    <t>Close</t>
  </si>
  <si>
    <t>3 x 14 x 924</t>
  </si>
  <si>
    <t xml:space="preserve">Unstuck </t>
  </si>
  <si>
    <t xml:space="preserve">Close </t>
  </si>
  <si>
    <t>3 x 7 x 1300</t>
  </si>
  <si>
    <t>Penyok</t>
  </si>
  <si>
    <t>3 x 8 x 2000</t>
  </si>
  <si>
    <t>Bending</t>
  </si>
  <si>
    <t xml:space="preserve">Complain </t>
  </si>
  <si>
    <t xml:space="preserve">Bending </t>
  </si>
  <si>
    <t>ID Seret</t>
  </si>
  <si>
    <t xml:space="preserve">Jumlah </t>
  </si>
  <si>
    <t>3 x 8 x 986</t>
  </si>
  <si>
    <t xml:space="preserve">    </t>
  </si>
  <si>
    <t xml:space="preserve">Total </t>
  </si>
  <si>
    <t>W3</t>
  </si>
  <si>
    <t xml:space="preserve">repeat </t>
  </si>
  <si>
    <t>Customer</t>
  </si>
  <si>
    <t>Sapta</t>
  </si>
  <si>
    <t>DNP</t>
  </si>
  <si>
    <t xml:space="preserve">     </t>
  </si>
  <si>
    <t xml:space="preserve">Bulan </t>
  </si>
  <si>
    <t>L (-)</t>
  </si>
  <si>
    <t>L(+)</t>
  </si>
  <si>
    <t xml:space="preserve">Samara </t>
  </si>
  <si>
    <t xml:space="preserve">Meiwa </t>
  </si>
  <si>
    <t>Indopoly</t>
  </si>
  <si>
    <t>Dasary</t>
  </si>
  <si>
    <t>Oval</t>
  </si>
  <si>
    <t>Adiprima</t>
  </si>
  <si>
    <t>Trias</t>
  </si>
  <si>
    <t>Interflex</t>
  </si>
  <si>
    <t>Toppan</t>
  </si>
  <si>
    <t>Duta Nicrindo</t>
  </si>
  <si>
    <t>Polytech</t>
  </si>
  <si>
    <t>Canopus</t>
  </si>
  <si>
    <t>Sambu</t>
  </si>
  <si>
    <t>Swissplast</t>
  </si>
  <si>
    <t>Indokordsa</t>
  </si>
  <si>
    <t>LIST CUSTOMER COMPLAIN REPORT 2024</t>
  </si>
  <si>
    <t xml:space="preserve">                </t>
  </si>
  <si>
    <t>Panjang Kurang 2-3 mm</t>
  </si>
  <si>
    <t>Nilon pada mesin aus</t>
  </si>
  <si>
    <t>Perbaikan nilin yang sudah aus</t>
  </si>
  <si>
    <t>8 nov 23, 9 nov 23, 7 des 23</t>
  </si>
  <si>
    <t>SKS</t>
  </si>
  <si>
    <t>ID Longgar</t>
  </si>
  <si>
    <t xml:space="preserve">Menggunakan ex core </t>
  </si>
  <si>
    <t xml:space="preserve">membuat Core baru dengan id 76.7-76.9 </t>
  </si>
  <si>
    <t>45 x 1.5 x 470</t>
  </si>
  <si>
    <t>45 x 1.5 x 930</t>
  </si>
  <si>
    <t>Overlap outer</t>
  </si>
  <si>
    <t xml:space="preserve">76.5 x 7 x225 </t>
  </si>
  <si>
    <t>76.5 x8 x 1345</t>
  </si>
  <si>
    <t>Tebal variasi, aktual 7.8</t>
  </si>
  <si>
    <t xml:space="preserve">parent ex trigema terpotong </t>
  </si>
  <si>
    <t>Salah Pallet (kayu) harusnya plastik &amp; core surface danted</t>
  </si>
  <si>
    <t xml:space="preserve">Bending &gt; 1.5 </t>
  </si>
  <si>
    <t>sortir 100 %, ditemukan 5 pcs yang tebal 7.8</t>
  </si>
  <si>
    <t>Sortir surface 100%</t>
  </si>
  <si>
    <t xml:space="preserve">Sortir 100% Bending </t>
  </si>
  <si>
    <t xml:space="preserve">Packing 4 ikat dan strech film </t>
  </si>
  <si>
    <t xml:space="preserve">NO </t>
  </si>
  <si>
    <t>Sato Label</t>
  </si>
  <si>
    <t>25.4 x4 x 900</t>
  </si>
  <si>
    <t>ID (+) spec 25.4 +0.3 aktual 25.75-26.1</t>
  </si>
  <si>
    <t xml:space="preserve">As mandrel perlu perbaikan </t>
  </si>
  <si>
    <t xml:space="preserve">As mandrel diperbaiki </t>
  </si>
  <si>
    <t>Kemasan Murah</t>
  </si>
  <si>
    <t>L 710</t>
  </si>
  <si>
    <t>Length (+) aktual 710-725</t>
  </si>
  <si>
    <t>76.5 x 7 x 989</t>
  </si>
  <si>
    <t>76.5 x 6 x 131</t>
  </si>
  <si>
    <t>Mulia</t>
  </si>
  <si>
    <t>L 515</t>
  </si>
  <si>
    <t>L over sampai 530</t>
  </si>
  <si>
    <t>76.5 x 8 x 2000</t>
  </si>
  <si>
    <t>bending , no lot 4015</t>
  </si>
  <si>
    <t>Digital</t>
  </si>
  <si>
    <t>Length(+)  sampai 1610 spec 1600-1605 mm</t>
  </si>
  <si>
    <t>terlalu panjang saat winding</t>
  </si>
  <si>
    <t xml:space="preserve">drying </t>
  </si>
  <si>
    <t>Id (-) 75.9-76.5</t>
  </si>
  <si>
    <t>Perdana Setia</t>
  </si>
  <si>
    <t>76.5 x 8x 456</t>
  </si>
  <si>
    <t>Core Seret</t>
  </si>
  <si>
    <t>76.2 x 8 x 986</t>
  </si>
  <si>
    <t>76.2 x 8 x 956</t>
  </si>
  <si>
    <t>Length (+) 2mm</t>
  </si>
  <si>
    <t>hanya sebagai improve next tidak boleh L(+)</t>
  </si>
  <si>
    <t>6 x 14 x 115</t>
  </si>
  <si>
    <t>Label salah, aktual L 106</t>
  </si>
  <si>
    <t>25 x 5 x 115</t>
  </si>
  <si>
    <t>Tebal variasi ( Tebal Tipis)</t>
  </si>
  <si>
    <t xml:space="preserve">Akibat tension di proses winding terlalu kencang pada saat setting </t>
  </si>
  <si>
    <t>Tension di set pada kondisi secukupnya pada set up, dan pemeriksaan ID saat set up lebih teliti</t>
  </si>
  <si>
    <t>60 x 1.5 x 1400</t>
  </si>
  <si>
    <t>SJL tidak sesuai aktual barang, 200 aktual 120</t>
  </si>
  <si>
    <t>33 x 1 x 1200</t>
  </si>
  <si>
    <t>SJL tidak sesuai aktual barang, 450 aktual 330</t>
  </si>
  <si>
    <t xml:space="preserve">uk 45 </t>
  </si>
  <si>
    <t xml:space="preserve">Salah tujuan </t>
  </si>
  <si>
    <t xml:space="preserve">tidak ada label </t>
  </si>
  <si>
    <t>Overlap &amp; grepes saat dipotong</t>
  </si>
  <si>
    <t>L(-)</t>
  </si>
  <si>
    <t>ID (+)</t>
  </si>
  <si>
    <t>Tebal Variasi</t>
  </si>
  <si>
    <t>salah palet</t>
  </si>
  <si>
    <t xml:space="preserve">L variasi </t>
  </si>
  <si>
    <t>ID (-)</t>
  </si>
  <si>
    <t xml:space="preserve">Label Salah </t>
  </si>
  <si>
    <t xml:space="preserve">Sjl Salah </t>
  </si>
  <si>
    <t>Sato</t>
  </si>
  <si>
    <t>mulia</t>
  </si>
  <si>
    <t>No label</t>
  </si>
  <si>
    <t>Kemungkinan karena tension kendor pada proses paper join</t>
  </si>
  <si>
    <t>1. Tukar Guling
2. Quality briefing team produksi terkait proses paper join</t>
  </si>
  <si>
    <t>1. Pastikan pada saat proses paper join, tension stabil
2. Jika ditemukan hasil tension belum stabil, paper core dibuang.</t>
  </si>
  <si>
    <t xml:space="preserve">SKS </t>
  </si>
  <si>
    <t>76.5 x 7 x 429</t>
  </si>
  <si>
    <t xml:space="preserve">Core Surface danted </t>
  </si>
  <si>
    <t>Sortir 100%</t>
  </si>
  <si>
    <t>Unstuck outer no lot 4026</t>
  </si>
  <si>
    <t xml:space="preserve">Sapta </t>
  </si>
  <si>
    <t xml:space="preserve">Pallet Berjamur </t>
  </si>
  <si>
    <t>76 x 2 x 1200</t>
  </si>
  <si>
    <t>panjang lebih</t>
  </si>
  <si>
    <t xml:space="preserve">L kurang 428-429 </t>
  </si>
  <si>
    <t>digital</t>
  </si>
  <si>
    <t xml:space="preserve">panjang kurang </t>
  </si>
  <si>
    <t>plasindo</t>
  </si>
  <si>
    <t>L 480</t>
  </si>
  <si>
    <t>Pallet rayap</t>
  </si>
  <si>
    <t xml:space="preserve">rayap tanah </t>
  </si>
  <si>
    <t>sortir 100%, core terkena rayap dibuang, pallet terkena rayap dibuang</t>
  </si>
  <si>
    <t>corran lantai di beri anti rayap</t>
  </si>
  <si>
    <t>22 dan 23 feb</t>
  </si>
  <si>
    <t>Hanya sebagai feedback</t>
  </si>
  <si>
    <t>hanya sebagai feedback</t>
  </si>
  <si>
    <t>Ekstrindo</t>
  </si>
  <si>
    <t>3 x 12 x 1100</t>
  </si>
  <si>
    <t>salah qty label 225 pcs aktual 109 pcs</t>
  </si>
  <si>
    <t>human eror, tidak menghitung saat loading</t>
  </si>
  <si>
    <t>mengirimkan sjl revisi</t>
  </si>
  <si>
    <t>briefing team</t>
  </si>
  <si>
    <t>cuaca lembab dan kayu basah</t>
  </si>
  <si>
    <t>L (+)</t>
  </si>
  <si>
    <t>L 2000</t>
  </si>
  <si>
    <t>indokordsa</t>
  </si>
  <si>
    <t xml:space="preserve">SJL corrugated side wall (400) dan corrugated cap (500) tertukar QTY </t>
  </si>
  <si>
    <t xml:space="preserve">kesalahan penulisan </t>
  </si>
  <si>
    <t>77 x 3 x 1602</t>
  </si>
  <si>
    <t>TDK</t>
  </si>
  <si>
    <t xml:space="preserve">ID 16, 17, 25, 14, </t>
  </si>
  <si>
    <t xml:space="preserve">139 , 145 , 20, 14 </t>
  </si>
  <si>
    <t>ID tidak rata</t>
  </si>
  <si>
    <t>76.5 x8 x 1160</t>
  </si>
  <si>
    <t>meiwa</t>
  </si>
  <si>
    <t>35 x 5 x 1230</t>
  </si>
  <si>
    <t>25 x5 x 1220</t>
  </si>
  <si>
    <t>overlap</t>
  </si>
  <si>
    <t>Visual kotor</t>
  </si>
  <si>
    <t>visual kotor</t>
  </si>
  <si>
    <t>45 x 5 x 930</t>
  </si>
  <si>
    <t>35 x 5 x 1220</t>
  </si>
  <si>
    <t xml:space="preserve">sortir 100 % </t>
  </si>
  <si>
    <t>L1100 &amp; L 1000</t>
  </si>
  <si>
    <t>label tertukar</t>
  </si>
  <si>
    <t>Label produksi salah, WH tidak mengukur kembali</t>
  </si>
  <si>
    <t>menukar label</t>
  </si>
  <si>
    <t>sebagai improve kedepannya agar tidak terulang</t>
  </si>
  <si>
    <t xml:space="preserve">Swissplast </t>
  </si>
  <si>
    <t>Id Menyusut menjadi 76</t>
  </si>
  <si>
    <t>dugaan sementara akibat lama waktu drying yang kurang hanya 3,5 jam karena urgent</t>
  </si>
  <si>
    <t>8 roll</t>
  </si>
  <si>
    <t xml:space="preserve">3 x 8 x 210 </t>
  </si>
  <si>
    <t>inner berminyak</t>
  </si>
  <si>
    <t xml:space="preserve">Trias </t>
  </si>
  <si>
    <t>3 x 7 x 2156</t>
  </si>
  <si>
    <t>4 roll</t>
  </si>
  <si>
    <t xml:space="preserve">ID Come down </t>
  </si>
  <si>
    <t>3 x 8 x 904</t>
  </si>
  <si>
    <t>Panjang kurang 1-3 mm</t>
  </si>
  <si>
    <t>3 x 7 x2156</t>
  </si>
  <si>
    <t xml:space="preserve">Id kecil </t>
  </si>
  <si>
    <t xml:space="preserve"> 78 x 15 x 1225</t>
  </si>
  <si>
    <t>Core memanjang</t>
  </si>
  <si>
    <t>108 pcs</t>
  </si>
  <si>
    <t>Core penyok dan bergelombang</t>
  </si>
  <si>
    <t xml:space="preserve">Mulia </t>
  </si>
  <si>
    <t>Bengkok</t>
  </si>
  <si>
    <t xml:space="preserve">      </t>
  </si>
  <si>
    <t>45 x 1.5 x 1220 , 25 x 1.5 x 1220 , 25 x 1.5 x 1230</t>
  </si>
  <si>
    <t xml:space="preserve">Polytech </t>
  </si>
  <si>
    <t>76 x 15 x 480, 76 x 15 x 1100</t>
  </si>
  <si>
    <t xml:space="preserve">Tidak ada inner Printing </t>
  </si>
  <si>
    <t xml:space="preserve">Tunas Dunia </t>
  </si>
  <si>
    <t>L Panjang aktual 1607-1610</t>
  </si>
  <si>
    <t>L Kurang aktual 1267-1269</t>
  </si>
  <si>
    <t>ID 13
ID 14
ID 16
ID 17</t>
  </si>
  <si>
    <t>85, 114, 147 , 435</t>
  </si>
  <si>
    <t>ID Besar dan ID kecil</t>
  </si>
  <si>
    <t>return</t>
  </si>
  <si>
    <t>IDC</t>
  </si>
  <si>
    <t>Inner minyak</t>
  </si>
  <si>
    <t>No Inner Print</t>
  </si>
  <si>
    <t>Ricoh</t>
  </si>
  <si>
    <t>13 x 2.5 x 1020</t>
  </si>
  <si>
    <t xml:space="preserve">Salah ukuran , aktual 78 x 15 x 760 mm </t>
  </si>
  <si>
    <t xml:space="preserve">Tukar guling tidak ada surat jalan </t>
  </si>
  <si>
    <t>490 x 270 x 275</t>
  </si>
  <si>
    <t>1300 x 270 x 270 dan 1300 x 300 x 300</t>
  </si>
  <si>
    <t>120 x 110 x 1250</t>
  </si>
  <si>
    <t xml:space="preserve">Tidak ada surat jalan </t>
  </si>
  <si>
    <t>Item dalam Surat jalan salah (salah Input Po di Odoo</t>
  </si>
  <si>
    <t>% eror</t>
  </si>
  <si>
    <t>Dafing</t>
  </si>
  <si>
    <t>7 Maret</t>
  </si>
  <si>
    <t xml:space="preserve">4 Maret shift 3, Gunawan </t>
  </si>
  <si>
    <t>5 maret spv all</t>
  </si>
  <si>
    <t xml:space="preserve">19 Maret </t>
  </si>
  <si>
    <t>Dibuat 12 Maret spv All</t>
  </si>
  <si>
    <t>26 Maret, sugeng gunawan</t>
  </si>
  <si>
    <t>return 18 Apr</t>
  </si>
  <si>
    <t xml:space="preserve">Marking Pallet diperjelas </t>
  </si>
  <si>
    <t>78 x 15 x 380 dan 78 x 15 x 480</t>
  </si>
  <si>
    <t>Berat core tidak standard</t>
  </si>
  <si>
    <t>Kesalahan internal pada spesifikasi berat</t>
  </si>
  <si>
    <t>Spec berat yang menjadi acuan 280 -360 g/100 mm</t>
  </si>
  <si>
    <t xml:space="preserve">Salah qty Label, Aktual 135 </t>
  </si>
  <si>
    <t xml:space="preserve">150 (1 pallet </t>
  </si>
  <si>
    <t>Adrian</t>
  </si>
  <si>
    <t>Sugeng Gunawan</t>
  </si>
  <si>
    <t>76.2 x 8 x 2500</t>
  </si>
  <si>
    <t>Potongan ujung crepes</t>
  </si>
  <si>
    <t xml:space="preserve">Perdana </t>
  </si>
  <si>
    <t>4 Mei</t>
  </si>
  <si>
    <t>76.2 x 10 x 1226</t>
  </si>
  <si>
    <t>peel off</t>
  </si>
  <si>
    <t>19 -20 Apr</t>
  </si>
  <si>
    <t>W3
Yayan (Gun)
Raswan (Sugeng)</t>
  </si>
  <si>
    <t>3 Mei</t>
  </si>
  <si>
    <t xml:space="preserve">45 x 1.5 x 470 </t>
  </si>
  <si>
    <t>Panjang Lebih</t>
  </si>
  <si>
    <t>76.2 x 7 x 2156</t>
  </si>
  <si>
    <t>ID kecil</t>
  </si>
  <si>
    <t>ID Kecil</t>
  </si>
  <si>
    <t>All SPV</t>
  </si>
  <si>
    <t>15-16 Maret , 4074. 4075</t>
  </si>
  <si>
    <t>return 3 Mei</t>
  </si>
  <si>
    <t>Return 4 mei</t>
  </si>
  <si>
    <t xml:space="preserve">Argha </t>
  </si>
  <si>
    <t xml:space="preserve">  187 x 10 x 560</t>
  </si>
  <si>
    <t>salah qty surat jalan, 5814 aktual 5314</t>
  </si>
  <si>
    <t>Salah ukuran di SJL 78 x 4 x 1602</t>
  </si>
  <si>
    <t>Tunas Dunia</t>
  </si>
  <si>
    <t>Lunak &amp; Tebal Kurang aktual 2.3 spec -0/+ 0.2</t>
  </si>
  <si>
    <t>Tidak Ada SJL</t>
  </si>
  <si>
    <t>Item SJL Salah (Box)</t>
  </si>
  <si>
    <t xml:space="preserve">Salah Ukuran kirim </t>
  </si>
  <si>
    <t>Salah qty label</t>
  </si>
  <si>
    <t>Perdana</t>
  </si>
  <si>
    <t xml:space="preserve">10 Mei </t>
  </si>
  <si>
    <t>20 April (gun)  4109</t>
  </si>
  <si>
    <t xml:space="preserve">27 april, 1 Mei </t>
  </si>
  <si>
    <t xml:space="preserve">24 April/ 25 April </t>
  </si>
  <si>
    <t>23 April W3 firman</t>
  </si>
  <si>
    <t xml:space="preserve">27 april, sugeng gun </t>
  </si>
  <si>
    <t xml:space="preserve">11 mei </t>
  </si>
  <si>
    <t xml:space="preserve">Unstuck Inner </t>
  </si>
  <si>
    <t>13 Mei</t>
  </si>
  <si>
    <t>Sks</t>
  </si>
  <si>
    <t>Length (-)</t>
  </si>
  <si>
    <t xml:space="preserve">surat jalan tidak sesuai fisik </t>
  </si>
  <si>
    <t>Lebar kraft tidak standard</t>
  </si>
  <si>
    <t xml:space="preserve">Tukar guling &amp; Rework </t>
  </si>
  <si>
    <t>menggunakan kraft outer standard</t>
  </si>
  <si>
    <t xml:space="preserve">akibat menyusut </t>
  </si>
  <si>
    <t>T13 (Fajar ) Sugeng , 24 April eli Firman 4115</t>
  </si>
  <si>
    <t xml:space="preserve">Return 14 Mei </t>
  </si>
  <si>
    <t>return 13 Mei</t>
  </si>
  <si>
    <t xml:space="preserve">16 Mei </t>
  </si>
  <si>
    <t xml:space="preserve">76.2 x 10 x 1196
</t>
  </si>
  <si>
    <t xml:space="preserve">
76.2 x 8 x 1076</t>
  </si>
  <si>
    <t xml:space="preserve">
27</t>
  </si>
  <si>
    <t xml:space="preserve">3 x 7 x 471
</t>
  </si>
  <si>
    <t xml:space="preserve">
3x 7 x 293</t>
  </si>
  <si>
    <t>76.5 x 12 x 725</t>
  </si>
  <si>
    <t>76.5 x 12 837</t>
  </si>
  <si>
    <t>76.5 x 14 x 924</t>
  </si>
  <si>
    <t xml:space="preserve">return 20 Mei </t>
  </si>
  <si>
    <t xml:space="preserve">return 21 Mei </t>
  </si>
  <si>
    <t>Length (-) &amp; peel Off</t>
  </si>
  <si>
    <t>return 19 Mei</t>
  </si>
  <si>
    <t xml:space="preserve">20 mei </t>
  </si>
  <si>
    <t>76.5 x 8 x 1056</t>
  </si>
  <si>
    <t>76.2 x 10 x 1106</t>
  </si>
  <si>
    <t xml:space="preserve">retur 22 Mei </t>
  </si>
  <si>
    <t>24 Mei</t>
  </si>
  <si>
    <t>Label tronic</t>
  </si>
  <si>
    <t xml:space="preserve">Oval , penyok, </t>
  </si>
  <si>
    <t>NCR</t>
  </si>
  <si>
    <t xml:space="preserve">NCR </t>
  </si>
  <si>
    <t xml:space="preserve">27 Mei </t>
  </si>
  <si>
    <t>76.2 x 10 x 1101</t>
  </si>
  <si>
    <t>retur 28 Mei</t>
  </si>
  <si>
    <t>76.2 x 10 x 1161</t>
  </si>
  <si>
    <t>retur 28 mei</t>
  </si>
  <si>
    <t xml:space="preserve">Pak gun, pak firman </t>
  </si>
  <si>
    <t>21 -22 Feb</t>
  </si>
  <si>
    <t xml:space="preserve">T12 Firman, Sugeng </t>
  </si>
  <si>
    <t>T12 Firman, Sugeng, Gun</t>
  </si>
  <si>
    <t>25-26 Apr</t>
  </si>
  <si>
    <t>t10 &lt; Firman, sugeng, Gun</t>
  </si>
  <si>
    <t>8 mei</t>
  </si>
  <si>
    <t>Sugeng Firman</t>
  </si>
  <si>
    <t>gun</t>
  </si>
  <si>
    <t>Gun</t>
  </si>
  <si>
    <t>w1 Firman</t>
  </si>
  <si>
    <t>Gun, Firman</t>
  </si>
  <si>
    <t xml:space="preserve">Firman </t>
  </si>
  <si>
    <t>4112, 4 Mei</t>
  </si>
  <si>
    <t>3 mei</t>
  </si>
  <si>
    <t>4110 3 mei</t>
  </si>
  <si>
    <t>3 meei</t>
  </si>
  <si>
    <t>retur 30 mei</t>
  </si>
  <si>
    <t>29 mei</t>
  </si>
  <si>
    <t>76.5 x 7 x 1300</t>
  </si>
  <si>
    <t xml:space="preserve">Sks </t>
  </si>
  <si>
    <t>Length (+)</t>
  </si>
  <si>
    <t>Potongan krepes</t>
  </si>
  <si>
    <t>Peel Off</t>
  </si>
  <si>
    <t xml:space="preserve">oval </t>
  </si>
  <si>
    <t>penyok</t>
  </si>
  <si>
    <t xml:space="preserve">Inner Over berminyak </t>
  </si>
  <si>
    <t xml:space="preserve">Over wax </t>
  </si>
  <si>
    <t>5 juni</t>
  </si>
  <si>
    <t xml:space="preserve">Trigema </t>
  </si>
  <si>
    <t>76 x 9 x 1000</t>
  </si>
  <si>
    <t xml:space="preserve">Inner Core tergerus </t>
  </si>
  <si>
    <t xml:space="preserve">tergerus saat cak dikeluarkan, </t>
  </si>
  <si>
    <t>Mengirimkan spl dengan inner CB 350 pindo ( Gagal), Sampel inner A31 papertech  (serbuk akibat gerusan berkurang)</t>
  </si>
  <si>
    <t xml:space="preserve">next produksi menggunakan inner A31 </t>
  </si>
  <si>
    <t xml:space="preserve">6 Juni </t>
  </si>
  <si>
    <t xml:space="preserve">perdana </t>
  </si>
  <si>
    <t>76x 10 x 1186</t>
  </si>
  <si>
    <t>76x 10 x 1141</t>
  </si>
  <si>
    <t>76x 8 x 1026</t>
  </si>
  <si>
    <t>76x 8 x 996</t>
  </si>
  <si>
    <t>76 x 4 x 1000</t>
  </si>
  <si>
    <t xml:space="preserve">retur 12 Juni </t>
  </si>
  <si>
    <t xml:space="preserve">10 Juni </t>
  </si>
  <si>
    <t>76x 10 x 1216</t>
  </si>
  <si>
    <t>76x 10 x 1171</t>
  </si>
  <si>
    <t xml:space="preserve">11 Juni </t>
  </si>
  <si>
    <t>76x 10 x 1206</t>
  </si>
  <si>
    <t>76x 10 x 1271</t>
  </si>
  <si>
    <t xml:space="preserve">76x 8 x 1021 </t>
  </si>
  <si>
    <t xml:space="preserve">14 Juni </t>
  </si>
  <si>
    <t>76x 10 x 1156</t>
  </si>
  <si>
    <t>76x 10 x 1161</t>
  </si>
  <si>
    <t>76x 10 x 1231</t>
  </si>
  <si>
    <t>76x 10 x 1276</t>
  </si>
  <si>
    <t xml:space="preserve">7 Juni </t>
  </si>
  <si>
    <t>Wastu</t>
  </si>
  <si>
    <t>13 x 3 x 1200</t>
  </si>
  <si>
    <t xml:space="preserve">Kraft Mengelupas </t>
  </si>
  <si>
    <t xml:space="preserve">Kraf pura 200 gsm mudah terkelupas </t>
  </si>
  <si>
    <t xml:space="preserve">18 Juni </t>
  </si>
  <si>
    <t>25 x 4 x 900</t>
  </si>
  <si>
    <t xml:space="preserve">Hasil cetakan berongga </t>
  </si>
  <si>
    <t xml:space="preserve">Retur 18 Juni </t>
  </si>
  <si>
    <t>19 Juni</t>
  </si>
  <si>
    <t>76.5 x 7 x 404</t>
  </si>
  <si>
    <t xml:space="preserve">Length (-) </t>
  </si>
  <si>
    <t xml:space="preserve">25 Januari </t>
  </si>
  <si>
    <t xml:space="preserve">Sortir </t>
  </si>
  <si>
    <t xml:space="preserve">retur 3 Juli </t>
  </si>
  <si>
    <t xml:space="preserve">KAS Paper </t>
  </si>
  <si>
    <t>Body Unstuck</t>
  </si>
  <si>
    <t>6x15x46</t>
  </si>
  <si>
    <t>3 x 8 x 527</t>
  </si>
  <si>
    <t xml:space="preserve">Salah label aktual L576 </t>
  </si>
  <si>
    <t xml:space="preserve">Spl Penjalindo &amp; Mitra </t>
  </si>
  <si>
    <t>Label Tertukar</t>
  </si>
  <si>
    <t>Length (+) 1 mm</t>
  </si>
  <si>
    <t xml:space="preserve">pengukuran sampai ke inner dengan caliper manual </t>
  </si>
  <si>
    <t xml:space="preserve">5 Juli </t>
  </si>
  <si>
    <t>6 Juni</t>
  </si>
  <si>
    <t>Inner Tergerus</t>
  </si>
  <si>
    <t>Kraft Mengelupas</t>
  </si>
  <si>
    <t>Bagian dalam berongga</t>
  </si>
  <si>
    <t>PSAJ</t>
  </si>
  <si>
    <t xml:space="preserve">PSAJ </t>
  </si>
  <si>
    <t>salah label aktual tebel 10, Label Tebel 8</t>
  </si>
  <si>
    <t xml:space="preserve">  perdana </t>
  </si>
  <si>
    <t>3 x 10 x 2500</t>
  </si>
  <si>
    <t>Potongan tidak rapih</t>
  </si>
  <si>
    <t>mengirimkan sample dengan L 46-46.5 hasil T14</t>
  </si>
  <si>
    <t>Mengganti Spec menjadi +- 0.5 mm</t>
  </si>
  <si>
    <t>Karya Rifqi</t>
  </si>
  <si>
    <t>76.1 x 3 x 1260</t>
  </si>
  <si>
    <t>Visual inner label sobek</t>
  </si>
  <si>
    <t>76.1 x 3 x 1260 (cuan Tape )</t>
  </si>
  <si>
    <t>76.1 x 3 x 1260 (Cheng li)</t>
  </si>
  <si>
    <t xml:space="preserve">sobek karena lembek </t>
  </si>
  <si>
    <t>28 Juli 24 (Pak Gun)</t>
  </si>
  <si>
    <t>Akibat ketabrak forkilft</t>
  </si>
  <si>
    <t>Polindo</t>
  </si>
  <si>
    <t>Core Penyok sudah di gulung label</t>
  </si>
  <si>
    <t>tidak standar karena memakai pallet kecil</t>
  </si>
  <si>
    <t xml:space="preserve">Betawi </t>
  </si>
  <si>
    <t>76 x 3 x 1030</t>
  </si>
  <si>
    <t>Terkelupas</t>
  </si>
  <si>
    <t>Over qty delivery , po 100, aktual 120 pcs</t>
  </si>
  <si>
    <t>76 x 6 x 1440</t>
  </si>
  <si>
    <t>Id kecil</t>
  </si>
  <si>
    <t>menggunakan ex trias 76.0</t>
  </si>
  <si>
    <t>k/box 1380 x 250 x 130 elba WH dan LBE</t>
  </si>
  <si>
    <t>Visual inner label sobek dan lembek</t>
  </si>
  <si>
    <t>51 x 3 x 515</t>
  </si>
  <si>
    <t>Lembek dan penyok</t>
  </si>
  <si>
    <t>Batu Mas</t>
  </si>
  <si>
    <t>30 x 3x 255</t>
  </si>
  <si>
    <t>label, SJ tidak sesuai aktual barang</t>
  </si>
  <si>
    <t>3 x 10 x 2000</t>
  </si>
  <si>
    <t>packer salah hitung</t>
  </si>
  <si>
    <t>coret surat jalan</t>
  </si>
  <si>
    <t>std packing batu mas dirubah menjadi posisi horizontal</t>
  </si>
  <si>
    <t>Packing bagian atas tidak rata</t>
  </si>
  <si>
    <t>next delivery packing atas harus rata</t>
  </si>
  <si>
    <t>Cabinet 1400 x285 x 285</t>
  </si>
  <si>
    <t>Upper / lower lem tidak kuat</t>
  </si>
  <si>
    <t>lem yang digunakan adalah white glue BLA  ( NG)</t>
  </si>
  <si>
    <t>Rework di meiwa 1 aug 24</t>
  </si>
  <si>
    <t>gunakan lem yang di w3</t>
  </si>
  <si>
    <t>152. 4 x 12 x 3500</t>
  </si>
  <si>
    <t>MC high 7.6 spec min 7 %</t>
  </si>
  <si>
    <t xml:space="preserve">Paralaks MC tester wahana (Benetech) dan adiprima ( Delrmhorst) </t>
  </si>
  <si>
    <t>kami jamin core tidak akan rusak, core rusak apabila MC up 10%</t>
  </si>
  <si>
    <t>next produksi akan sesuaikan lagi perbandingan pin test wahana dengan adiprima</t>
  </si>
  <si>
    <t>40 x 2 x 1000</t>
  </si>
  <si>
    <t>kraft mengelupas saat dipotong</t>
  </si>
  <si>
    <t xml:space="preserve">Pura Kraft delaminasi </t>
  </si>
  <si>
    <t>inner mengelupas (kraft tidak menempel)</t>
  </si>
  <si>
    <t>winding di w01 dimana inner tidak langsung terkena lem</t>
  </si>
  <si>
    <t>next produksi di w04</t>
  </si>
  <si>
    <t>14 x 4 x 1100</t>
  </si>
  <si>
    <t>OD variasi dalam satu batang</t>
  </si>
  <si>
    <t>Overlap/biggap</t>
  </si>
  <si>
    <t>return 9 Juli</t>
  </si>
  <si>
    <t>-25 x 1.5 x 1220
- 35 x 1.5 x1230
-45 x1.5 x 470
-45 x1.5x930
-20 x 1.5 x 455
'-20x1.5x 915</t>
  </si>
  <si>
    <t>111
120
19
9
71
51</t>
  </si>
  <si>
    <t xml:space="preserve">NG </t>
  </si>
  <si>
    <t>return 19 Jul</t>
  </si>
  <si>
    <t>77 x 8 x  2000</t>
  </si>
  <si>
    <t xml:space="preserve">w3 21 Juni pak sugeng </t>
  </si>
  <si>
    <t>full Pindo 350 18 ply outer kraft drying 17.50-1.30 (6 Jam) mc 7-8 % ,  fc offsaw 80 seasoing 1 jam 105 kg</t>
  </si>
  <si>
    <t>4-5  jun T11, All grup</t>
  </si>
  <si>
    <t>Kas Paper</t>
  </si>
  <si>
    <t>interflex</t>
  </si>
  <si>
    <t>Karya Rifki</t>
  </si>
  <si>
    <t>samara</t>
  </si>
  <si>
    <t>sambu</t>
  </si>
  <si>
    <t>next delivery menggunakan pindo CB 500</t>
  </si>
  <si>
    <t xml:space="preserve">Big Gap </t>
  </si>
  <si>
    <t>OD Variasi</t>
  </si>
  <si>
    <t>Kraft mengelupas</t>
  </si>
  <si>
    <t>Visual Kotor</t>
  </si>
  <si>
    <t>MC high</t>
  </si>
  <si>
    <t>Lem tidak kuat</t>
  </si>
  <si>
    <t>lembek</t>
  </si>
  <si>
    <t>Id (-)</t>
  </si>
  <si>
    <t xml:space="preserve">Inner kelupas </t>
  </si>
  <si>
    <t>29 Juni pak firman pak sugeng</t>
  </si>
  <si>
    <t xml:space="preserve">5 jul pak sugeng firman </t>
  </si>
  <si>
    <t xml:space="preserve">19 Jul pak gun pak firman </t>
  </si>
  <si>
    <t>11 jul pak gun</t>
  </si>
  <si>
    <t>76.5 x 12 x 720</t>
  </si>
  <si>
    <t>Panjang kurang</t>
  </si>
  <si>
    <t>20 x 1.5 x 915</t>
  </si>
  <si>
    <t>35 x 1.5 x 1230</t>
  </si>
  <si>
    <t>25 x 1.5 x 1220</t>
  </si>
  <si>
    <t>76.5 x 10 x 2500</t>
  </si>
  <si>
    <t>Potongan not clean</t>
  </si>
  <si>
    <t>Panjang variasi</t>
  </si>
  <si>
    <t>Indofood</t>
  </si>
  <si>
    <t>152.4 x 15 x 1152</t>
  </si>
  <si>
    <t>76.5 x 14 x L</t>
  </si>
  <si>
    <t>Tidak diikat 10 pcs</t>
  </si>
  <si>
    <t>76,5 x 8 x 1525</t>
  </si>
  <si>
    <t>76.5 x 7x 180</t>
  </si>
  <si>
    <t>76.5 x 7x 170</t>
  </si>
  <si>
    <t>26 x 1 x 1000</t>
  </si>
  <si>
    <t>152,4 x 15 x 66</t>
  </si>
  <si>
    <t>potongan berserabut</t>
  </si>
  <si>
    <t>3 x 7 x 201</t>
  </si>
  <si>
    <t>3 x 10 x 177</t>
  </si>
  <si>
    <t>T variasi , seret</t>
  </si>
  <si>
    <t>T Variasi, seret</t>
  </si>
  <si>
    <t>46 x 1.5 Mayo min</t>
  </si>
  <si>
    <t>salah sablon</t>
  </si>
  <si>
    <t>Karya rifki</t>
  </si>
  <si>
    <t>Lembek</t>
  </si>
  <si>
    <t>76,5 x 8 x 1300</t>
  </si>
  <si>
    <t>77 x 3 x 1400</t>
  </si>
  <si>
    <t>visual kotor dan bending</t>
  </si>
  <si>
    <t>76 x 8 x 1088</t>
  </si>
  <si>
    <t>Tercantum di SJL , aktual barang tidak terkirim</t>
  </si>
  <si>
    <t>Kotor , oval</t>
  </si>
  <si>
    <t>Lenght (-)</t>
  </si>
  <si>
    <t>kotor</t>
  </si>
  <si>
    <t>oval</t>
  </si>
  <si>
    <t>Length variasi</t>
  </si>
  <si>
    <t>Debris</t>
  </si>
  <si>
    <t>Iner tergerus (debris)</t>
  </si>
  <si>
    <t>Seret</t>
  </si>
  <si>
    <t>Salah sablon</t>
  </si>
  <si>
    <t>sapta</t>
  </si>
  <si>
    <t>Dnp</t>
  </si>
  <si>
    <t>Avery</t>
  </si>
  <si>
    <t>ekstrindo</t>
  </si>
  <si>
    <t xml:space="preserve">Packingan tidak kuat/rubuh </t>
  </si>
  <si>
    <t>13 x 3 x 900</t>
  </si>
  <si>
    <t>3 x 8x 966</t>
  </si>
  <si>
    <t>27 Agustus</t>
  </si>
  <si>
    <t>25 Agustus T4</t>
  </si>
  <si>
    <t>3 x 8 x 840</t>
  </si>
  <si>
    <t>Length -</t>
  </si>
  <si>
    <t>menyusut akibat ketidakstabilan MC</t>
  </si>
  <si>
    <t>MC Distandardkan</t>
  </si>
  <si>
    <t>Karton box</t>
  </si>
  <si>
    <t>Tidak kesablon</t>
  </si>
  <si>
    <t>Surya Utama</t>
  </si>
  <si>
    <t>25,6 x 5 x 1000</t>
  </si>
  <si>
    <t>mengelupas / potongan berserabut</t>
  </si>
  <si>
    <t>Katon box</t>
  </si>
  <si>
    <t>Sablon terlewat</t>
  </si>
  <si>
    <t xml:space="preserve">Core Lembek - hancur </t>
  </si>
  <si>
    <t>76,2 x 7 x 201</t>
  </si>
  <si>
    <t>Seret tidak masuk As slitting</t>
  </si>
  <si>
    <t xml:space="preserve">permukaan core terkelupas </t>
  </si>
  <si>
    <t>handling produksi</t>
  </si>
  <si>
    <t>hati hati saat handling paper core</t>
  </si>
  <si>
    <t>Visit ke customer tgl 2 Oct</t>
  </si>
  <si>
    <t>celah antar pallet kayu terlalu lebar</t>
  </si>
  <si>
    <t xml:space="preserve">25,4 x 4 x 900 </t>
  </si>
  <si>
    <t>Melengkung</t>
  </si>
  <si>
    <t>melengkung akibat suhu dalam truk tinggi</t>
  </si>
  <si>
    <t>76.5 x 7 x 160</t>
  </si>
  <si>
    <t>Salah item sjl, aktual 170 mm</t>
  </si>
  <si>
    <t>76 x 7 x 47</t>
  </si>
  <si>
    <t>Coa salah akibat font uk di sjl tidak jelas</t>
  </si>
  <si>
    <t xml:space="preserve">Ditolak </t>
  </si>
  <si>
    <t>Avery Denison</t>
  </si>
  <si>
    <t xml:space="preserve">Jumlah Complain </t>
  </si>
  <si>
    <t>Ng Visual</t>
  </si>
  <si>
    <t>35 x 1,5 x 1230</t>
  </si>
  <si>
    <t>25 x 1,5 x 1220</t>
  </si>
  <si>
    <t>45 x 1,5 x 470</t>
  </si>
  <si>
    <t>45 x 1,5 x 930</t>
  </si>
  <si>
    <t>NG Visual</t>
  </si>
  <si>
    <t xml:space="preserve">Core outer kraft sebelum didrying </t>
  </si>
  <si>
    <t>Inner tergerus/ debris</t>
  </si>
  <si>
    <t>Deformasi paper core/ lembek</t>
  </si>
  <si>
    <t>Inner Peel off</t>
  </si>
  <si>
    <t>Outer Terkelupas</t>
  </si>
  <si>
    <t>Box 490 x 200 x 160</t>
  </si>
  <si>
    <t>Salah Item SJL</t>
  </si>
  <si>
    <t xml:space="preserve">Salah laporan loading </t>
  </si>
  <si>
    <t>Packing berantakan</t>
  </si>
  <si>
    <t>25 x 2 x 225</t>
  </si>
  <si>
    <t>Jumlah qty SJL salah 5503 pcs , aktual 4502 pcs</t>
  </si>
  <si>
    <t xml:space="preserve">Wh salah menghitung </t>
  </si>
  <si>
    <t>60 x 2 x 500</t>
  </si>
  <si>
    <t>Salah PO</t>
  </si>
  <si>
    <t>slit paper tidak standard</t>
  </si>
  <si>
    <t>monitor overlap saat produksi</t>
  </si>
  <si>
    <t>inspeksi diperketat</t>
  </si>
  <si>
    <t>5 des 23</t>
  </si>
  <si>
    <t>6 des 23</t>
  </si>
  <si>
    <t>akibat handling saat seamless</t>
  </si>
  <si>
    <t>inspeksi surface diperketat</t>
  </si>
  <si>
    <t>CLose</t>
  </si>
  <si>
    <t>Status</t>
  </si>
  <si>
    <t>3 des 23</t>
  </si>
  <si>
    <t>T1</t>
  </si>
  <si>
    <t>T1 dan T2</t>
  </si>
  <si>
    <t>Seamless</t>
  </si>
  <si>
    <t>handling saat drying process</t>
  </si>
  <si>
    <t>Drying process</t>
  </si>
  <si>
    <t>Cek ID diperketat</t>
  </si>
  <si>
    <t>W2</t>
  </si>
  <si>
    <t>Salah pengukuran</t>
  </si>
  <si>
    <t>Control Length precut dimonitor</t>
  </si>
  <si>
    <t>L tidak standard / Variasi</t>
  </si>
  <si>
    <t>pisau geser dan opt tidak melakukan cek</t>
  </si>
  <si>
    <t>Selalu monitor pisau dan dilakukan pengecekan</t>
  </si>
  <si>
    <t>tidak melihat WO</t>
  </si>
  <si>
    <t>Sebagai feedback</t>
  </si>
  <si>
    <t>Brifieng OPT</t>
  </si>
  <si>
    <t>monitor Length saat proses drying</t>
  </si>
  <si>
    <t>Keterangan</t>
  </si>
  <si>
    <t>Feedback</t>
  </si>
  <si>
    <t>Retur</t>
  </si>
  <si>
    <t>oval akibat tumpukan terlalu berat</t>
  </si>
  <si>
    <t>Tukar guling &amp; Sortir</t>
  </si>
  <si>
    <t>tumpukan dikurangi</t>
  </si>
  <si>
    <t>Slit paper outer variasi</t>
  </si>
  <si>
    <t xml:space="preserve">seset </t>
  </si>
  <si>
    <t xml:space="preserve">monitor saat winding </t>
  </si>
  <si>
    <t>Handling paper core</t>
  </si>
  <si>
    <t>Monitor handling</t>
  </si>
  <si>
    <t>Monitr saat winding</t>
  </si>
  <si>
    <t>kumpulan</t>
  </si>
  <si>
    <t>T2</t>
  </si>
  <si>
    <t>Paralaks pengukuran Length</t>
  </si>
  <si>
    <t xml:space="preserve">Monitor control length </t>
  </si>
  <si>
    <t>akibat thicknes paper varias</t>
  </si>
  <si>
    <t>monitor thickness paper</t>
  </si>
  <si>
    <t>w2</t>
  </si>
  <si>
    <t>T13/T10</t>
  </si>
  <si>
    <t>MC distandardkan</t>
  </si>
  <si>
    <t>Akibat handling paper core</t>
  </si>
  <si>
    <t>mengubah standard packaging dengan menambahkan alas yang lebih tebal</t>
  </si>
  <si>
    <t>spec L Wo diubah, opt tidak melihat spec di WO</t>
  </si>
  <si>
    <t xml:space="preserve">Briefing </t>
  </si>
  <si>
    <t>Over Drying</t>
  </si>
  <si>
    <t>Monitor Drying process</t>
  </si>
  <si>
    <t>Bayar denda</t>
  </si>
  <si>
    <t>drying process harus sesuai prosedue</t>
  </si>
  <si>
    <t>slit paper outer variasi</t>
  </si>
  <si>
    <t>seset ( Rework)</t>
  </si>
  <si>
    <t>Return</t>
  </si>
  <si>
    <t>oval, karena MC tinggi</t>
  </si>
  <si>
    <t>seasoning parent lebih lama</t>
  </si>
  <si>
    <t>Mesin Inner printing rusal</t>
  </si>
  <si>
    <t>perbaikan mesin inner printing</t>
  </si>
  <si>
    <t>Tgl Produksi</t>
  </si>
  <si>
    <t>5 Maret</t>
  </si>
  <si>
    <t>Monitor proces drying</t>
  </si>
  <si>
    <t>Over minyak untuk pelumas saat winding</t>
  </si>
  <si>
    <t>minimalisis penggunaan minyak sebagai pelumas</t>
  </si>
  <si>
    <t xml:space="preserve">W3
</t>
  </si>
  <si>
    <t>mungkin core sambungan</t>
  </si>
  <si>
    <t>Core sambungan harus dibuang</t>
  </si>
  <si>
    <t>MC distandarkan</t>
  </si>
  <si>
    <t>As aus</t>
  </si>
  <si>
    <t>Tuakr guling</t>
  </si>
  <si>
    <t>As di crhome</t>
  </si>
  <si>
    <t>standar MC diturukan</t>
  </si>
  <si>
    <t>Handling saat pengiriman</t>
  </si>
  <si>
    <t>Standartd packaging ditambah siku 4 sisi dan layer 4 sisi</t>
  </si>
  <si>
    <t>Kumpulan</t>
  </si>
  <si>
    <t>Kepanasan pada saat di truk pengiriman</t>
  </si>
  <si>
    <t>Strech film ditambah 2 lapis</t>
  </si>
  <si>
    <t>MC high, Opt tidak mengecek dan terlewat inspeksi</t>
  </si>
  <si>
    <t>Di drying dan monitor saat winding</t>
  </si>
  <si>
    <t>Core memanjang akibat ketidak stabilan MC (lebih dingin)</t>
  </si>
  <si>
    <t>Tukar guling &amp; mengirimkan sample untuk mencocokan ID</t>
  </si>
  <si>
    <t>Mengubah As dengan sample yang di approve</t>
  </si>
  <si>
    <t>Potongan winding tidak bisa clean cut</t>
  </si>
  <si>
    <t xml:space="preserve">setting pisau saw tender lebih di perhatikan </t>
  </si>
  <si>
    <t>lem tidak merata</t>
  </si>
  <si>
    <t>Monitor Lem inner</t>
  </si>
  <si>
    <t>28 April, 2 Mei</t>
  </si>
  <si>
    <t>sticking belum stabil dan core sambungan tidak dibuang</t>
  </si>
  <si>
    <t>feedback</t>
  </si>
  <si>
    <t>membuat SOP star Stop winding</t>
  </si>
  <si>
    <t>suhu di gudang penyimpanan perdana lebih panas sehingga core menyusut</t>
  </si>
  <si>
    <t>MC distandarkan, dan Spec Length diubah menjadi +2</t>
  </si>
  <si>
    <t>MC distandarkn</t>
  </si>
  <si>
    <t>10 Mei</t>
  </si>
  <si>
    <t>handling</t>
  </si>
  <si>
    <t>Handling</t>
  </si>
  <si>
    <t>Monitor penggunaan minyak</t>
  </si>
  <si>
    <t>Sudah sesuai standrat packaging</t>
  </si>
  <si>
    <t>27 Mei</t>
  </si>
  <si>
    <t>Mengubah spec menjadi +2 dan MC distandradkan</t>
  </si>
  <si>
    <t>Stok Gudang perdana di tarik semua</t>
  </si>
  <si>
    <t>5 Jun Firman &amp; gun</t>
  </si>
  <si>
    <t>pengugunaan slit paper yang tidak standar sehingga menyebabkan rongga</t>
  </si>
  <si>
    <t>Slit paper standar</t>
  </si>
  <si>
    <t>12 Juni</t>
  </si>
  <si>
    <t>9 Juni</t>
  </si>
  <si>
    <t>menggunakan ex stok</t>
  </si>
  <si>
    <t>MC di standarkan</t>
  </si>
  <si>
    <t>23 Januari</t>
  </si>
  <si>
    <t>next produksi tidak pakai stok</t>
  </si>
  <si>
    <t>sambungan tidak dipisahkan</t>
  </si>
  <si>
    <t>jika mesin Trimming terbaru Wberpack sudah siap, maka kualitas potongan L2500 kualitas trimming</t>
  </si>
  <si>
    <t xml:space="preserve">ujung potongan L 2500 tidak rata dan tidak rapih (Kualitas Offsaw) yang harus di Trimming oleh PT Perdana. </t>
  </si>
  <si>
    <t>Kualitas cutting pada Length (L) 2500 mm adalah kualitas offsaw bukan kualitas Trimming. metode kualitas offsaw seperti berikut : 1. Tidak rapi 2. Tidak rata Sesuai kualifikasi sample parent L 2500 ditambah 40 mm.</t>
  </si>
  <si>
    <t>sambungan core dipisahkan</t>
  </si>
  <si>
    <t>29 Juni</t>
  </si>
  <si>
    <t>25 Juni</t>
  </si>
  <si>
    <t>10 Juni</t>
  </si>
  <si>
    <t>5 Juni</t>
  </si>
  <si>
    <t>T14</t>
  </si>
  <si>
    <t>Return 10 Juli</t>
  </si>
  <si>
    <t xml:space="preserve">(Engkus dan husen) 9 Juli </t>
  </si>
  <si>
    <t>Stok di wahana OD sesuai spek</t>
  </si>
  <si>
    <t>W1</t>
  </si>
  <si>
    <t>kemungkinan handling di meiwa, kumpulan</t>
  </si>
  <si>
    <t>perketat SOP</t>
  </si>
  <si>
    <t>Karton</t>
  </si>
  <si>
    <t>Handling pada saat finishing</t>
  </si>
  <si>
    <t>test delaminasi sebelum produksi</t>
  </si>
  <si>
    <t>tanpa drying</t>
  </si>
  <si>
    <t xml:space="preserve">dilakukan drying </t>
  </si>
  <si>
    <t>nex produksi menggunakan parent untuk sambu</t>
  </si>
  <si>
    <t>22-23 jul</t>
  </si>
  <si>
    <t xml:space="preserve">T10 </t>
  </si>
  <si>
    <t>Menggunakan paper pinggiran</t>
  </si>
  <si>
    <t xml:space="preserve">monitor sticking paper </t>
  </si>
  <si>
    <t>Briefing opt forklift terkait handling saat loading</t>
  </si>
  <si>
    <t>28 Juli</t>
  </si>
  <si>
    <t>terlewat drying</t>
  </si>
  <si>
    <t>Harus di drying nex produksi</t>
  </si>
  <si>
    <t xml:space="preserve">Handling saat loading </t>
  </si>
  <si>
    <t>Bfiefing terkait handling saat finishing-loading</t>
  </si>
  <si>
    <t xml:space="preserve">MC, BU sudah standard </t>
  </si>
  <si>
    <t>Penyusutan akibat lama penyimpanan</t>
  </si>
  <si>
    <t>MC distandardkn</t>
  </si>
  <si>
    <t>kemungkinan terjadi saat hadling proses</t>
  </si>
  <si>
    <t xml:space="preserve">SOP handling core white diperbarui dan sudah dibrifeing </t>
  </si>
  <si>
    <t>T1 T2</t>
  </si>
  <si>
    <t>potongan offsaw winding</t>
  </si>
  <si>
    <t>Komunikasikan kembali dengan purchasing Perdana bahwa uk tersebut potongan not clean</t>
  </si>
  <si>
    <t>akibat pergeseran srcapper pisau, scrapper pisau hanya dri lakban saja</t>
  </si>
  <si>
    <t>Return 8 aug</t>
  </si>
  <si>
    <t>T8</t>
  </si>
  <si>
    <t>5-6 aug</t>
  </si>
  <si>
    <t>Scapper diperbaiki, control length diperketat</t>
  </si>
  <si>
    <t>Panjang (-) &amp; seret</t>
  </si>
  <si>
    <t>Over drying &amp; menggunakan AS sambungan</t>
  </si>
  <si>
    <t>Mengirimkan sample ID dengan AS tanpa sambungan</t>
  </si>
  <si>
    <t>tanpa redrying dan menggunakan AS sesuai sample approve</t>
  </si>
  <si>
    <t>Return 16 Aug</t>
  </si>
  <si>
    <t xml:space="preserve">kemungkinan inner paper tergerus dari chuck spindle mesin </t>
  </si>
  <si>
    <t>mengirimkann sample dengan inner paper yang lebih kuat</t>
  </si>
  <si>
    <t>Next delivery menggunakan A31 inner double</t>
  </si>
  <si>
    <t>w3</t>
  </si>
  <si>
    <t>Berudul dan L variasi</t>
  </si>
  <si>
    <t>Paper pura delaminasi</t>
  </si>
  <si>
    <t>Next delivery menggunakan paper pindo</t>
  </si>
  <si>
    <t xml:space="preserve">Thickness Kurang / Potongan berserabut </t>
  </si>
  <si>
    <t xml:space="preserve">Monitor Thickness saat winding/ perketat control winding </t>
  </si>
  <si>
    <t>paper yang digunakan lebih tipis, sehingga pencapaian thickness lebih kecil</t>
  </si>
  <si>
    <t>Rework dengan menseset hasil potongan yang berserabut</t>
  </si>
  <si>
    <t>Monitor kualitas potongan</t>
  </si>
  <si>
    <t>menggunakan ex trias bor</t>
  </si>
  <si>
    <t>potong tagihan</t>
  </si>
  <si>
    <t xml:space="preserve">next delivery menggunakan As 76,5 </t>
  </si>
  <si>
    <t>22 juli</t>
  </si>
  <si>
    <t>2 juli</t>
  </si>
  <si>
    <t>Bor</t>
  </si>
  <si>
    <t>Sablon</t>
  </si>
  <si>
    <t>human eror</t>
  </si>
  <si>
    <t>Brifeing OPT</t>
  </si>
  <si>
    <t>Handling saat loading terkena panas hingga bending</t>
  </si>
  <si>
    <t>handling saat Finsihing harus sesuai SOP dan ditamabhakn satu lapis strech film</t>
  </si>
  <si>
    <t>tidak di drying</t>
  </si>
  <si>
    <t>kemungkinan kumpulan dan handling pada sapta</t>
  </si>
  <si>
    <t>sudah monitor loading dan standrd packaginf sudah sesuai seharusnya tidak ada penyok</t>
  </si>
  <si>
    <t>retur</t>
  </si>
  <si>
    <t>kemungkina  sticking belum sempurna</t>
  </si>
  <si>
    <t>monitor stiking</t>
  </si>
  <si>
    <t>kiriman Juni</t>
  </si>
  <si>
    <t>handling di internal sudah termonitor baik sop sesuai</t>
  </si>
  <si>
    <t>Masih tetap monitor handling</t>
  </si>
  <si>
    <t>Bending OK, BU sesuai spec, kemungkinan adanya variasi berat di customer</t>
  </si>
  <si>
    <t xml:space="preserve">monitor kualitas inner </t>
  </si>
  <si>
    <t>21 Agustus</t>
  </si>
  <si>
    <t>23 Agustus</t>
  </si>
  <si>
    <t>monitor saat sablon</t>
  </si>
  <si>
    <t>stok diwahana hasil potongan bagus</t>
  </si>
  <si>
    <t>monitor kualitas potongan</t>
  </si>
  <si>
    <t>13 agutsu dan maret</t>
  </si>
  <si>
    <t>agustus dan maret</t>
  </si>
  <si>
    <t>Harus di drying next produksi, jangan sampai terlewat/ monitor</t>
  </si>
  <si>
    <t xml:space="preserve">ex bor trias </t>
  </si>
  <si>
    <t>menggunakan as seperti biasa, jangan gunakan stok</t>
  </si>
  <si>
    <t>20 aug &amp; 2 sep</t>
  </si>
  <si>
    <t>sudah sesuai sop sedang monitor</t>
  </si>
  <si>
    <t>Monitor implemntasi SOP baru</t>
  </si>
  <si>
    <t>hati hati saat handling paper core, dan amplas</t>
  </si>
  <si>
    <t>jangan gunakan ex bor trias</t>
  </si>
  <si>
    <t>seasoing agak lama dan tambahkan ikatan</t>
  </si>
  <si>
    <t>loading</t>
  </si>
  <si>
    <t>hasil analisa buakan core whana</t>
  </si>
  <si>
    <t>Open</t>
  </si>
  <si>
    <t>Pura Barutama</t>
  </si>
  <si>
    <t>51 x 3,5 x 1600</t>
  </si>
  <si>
    <t>Length (-) 3 mm</t>
  </si>
  <si>
    <t>ujung core di strech film agar tidak terlalu menyusut</t>
  </si>
  <si>
    <t>152,4 x 14 x 46</t>
  </si>
  <si>
    <t>No Doc: WBN/13-QA
Rev : 0
Date : 15 Agustus 2024</t>
  </si>
  <si>
    <t xml:space="preserve">PT WAHANA BERMUDA NUSANTARA </t>
  </si>
  <si>
    <t>6 x 10 x 1211mm</t>
  </si>
  <si>
    <t xml:space="preserve">Akibat tumpukan dalam proses drying </t>
  </si>
  <si>
    <t>16 Okt</t>
  </si>
  <si>
    <t xml:space="preserve">susunan roboh </t>
  </si>
  <si>
    <t>28 Agustsu</t>
  </si>
  <si>
    <t>tebel 4 dan tebal 3 tercampur L 1602</t>
  </si>
  <si>
    <t>3 x 8x 2200 ®</t>
  </si>
  <si>
    <t>unstuck body</t>
  </si>
  <si>
    <t>kemungkinan core hasil start stop winding yang tercampur</t>
  </si>
  <si>
    <t>retur 19 Okt</t>
  </si>
  <si>
    <t>Cuan tape</t>
  </si>
  <si>
    <t>outer putih terkelupas</t>
  </si>
  <si>
    <t>KRP Tape</t>
  </si>
  <si>
    <t>Inner label terkelupas</t>
  </si>
  <si>
    <t>sks</t>
  </si>
  <si>
    <t>76 x 7 x 201</t>
  </si>
  <si>
    <t>Surat jalan tidak sesuai fisik barang</t>
  </si>
  <si>
    <t>menggunakan paper yang tidak standard</t>
  </si>
  <si>
    <t>76,2 x 12 x L</t>
  </si>
  <si>
    <t>penyok saat digulung</t>
  </si>
  <si>
    <t>kunpulan</t>
  </si>
  <si>
    <t>4273 (30 September)</t>
  </si>
  <si>
    <t>14 Oktober</t>
  </si>
  <si>
    <t xml:space="preserve">4280, 7 oktober </t>
  </si>
  <si>
    <t>11 oktober</t>
  </si>
  <si>
    <t>5 / 25 oktober</t>
  </si>
  <si>
    <t>2 oktober</t>
  </si>
  <si>
    <t>3 x 8 x 1140</t>
  </si>
  <si>
    <t>152,4 x 14 x 64</t>
  </si>
  <si>
    <t>tebal kurang, aktual 13 mm</t>
  </si>
  <si>
    <t>karakteristik paper cb papertech menyusut lebih besar</t>
  </si>
  <si>
    <t>3 x 8 x 1120</t>
  </si>
  <si>
    <t>bending</t>
  </si>
  <si>
    <t>Tebal (-)</t>
  </si>
  <si>
    <t>T variasi</t>
  </si>
  <si>
    <t>tebel 4 dan tebal 3 tercampur L 1602 /T variasi</t>
  </si>
  <si>
    <t>Inner terkelupas</t>
  </si>
  <si>
    <t>Pura</t>
  </si>
  <si>
    <t>hb</t>
  </si>
  <si>
    <t>Jumlah Feedback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</si>
  <si>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</si>
  <si>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</si>
  <si>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</si>
  <si>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</si>
  <si>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</si>
  <si>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</si>
  <si>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</si>
  <si>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</si>
  <si>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</si>
  <si>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</si>
  <si>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yayan pak gun</t>
  </si>
  <si>
    <t>Pura roto</t>
  </si>
  <si>
    <t>6 x 12 x 750</t>
  </si>
  <si>
    <t xml:space="preserve">terkena air ( basah ) di bagain atas ujung </t>
  </si>
  <si>
    <t>kondisi pada pengiriman hujan dan mungkin truk bocor</t>
  </si>
  <si>
    <t>52 pcs</t>
  </si>
  <si>
    <t>hasil analisa core reur ID ok 76,5 - 76,7 mm. namun ditemukan penyok dan visual kotor</t>
  </si>
  <si>
    <t>menambahkan lapisan pada alas (PE Poam)</t>
  </si>
  <si>
    <t>23 oktober</t>
  </si>
  <si>
    <t>26,8 x 1 x 1000</t>
  </si>
  <si>
    <t>inner berkerut dan id low side (in spec)</t>
  </si>
  <si>
    <t>dikirimkan go no go (paralon) untuk pengecekan internal</t>
  </si>
  <si>
    <t>Pak gun</t>
  </si>
  <si>
    <t xml:space="preserve"> 3 x 7 x 2156</t>
  </si>
  <si>
    <t>low FC (aktual di trias average 6,8 N/mm</t>
  </si>
  <si>
    <t xml:space="preserve">material paper low PB </t>
  </si>
  <si>
    <t xml:space="preserve">Menambahkn paper high grade dan menstandardkan build up </t>
  </si>
  <si>
    <t xml:space="preserve">30 Oktober </t>
  </si>
  <si>
    <t>unstuck top ply</t>
  </si>
  <si>
    <t>perketat sop start stop winding</t>
  </si>
  <si>
    <t>meeting dan tukar guling</t>
  </si>
  <si>
    <t xml:space="preserve"> 3 x 9 x 1020 </t>
  </si>
  <si>
    <t>10 pcs dari 50 pcs</t>
  </si>
  <si>
    <t>length (-) 2mm</t>
  </si>
  <si>
    <t>chengli</t>
  </si>
  <si>
    <t>potensi setting length PC lolos check</t>
  </si>
  <si>
    <t>brifing opt terkait control length</t>
  </si>
  <si>
    <t xml:space="preserve">monitoring </t>
  </si>
  <si>
    <t>22 / 23 oktober</t>
  </si>
  <si>
    <t xml:space="preserve"> trmiing 21 oktober tio </t>
  </si>
  <si>
    <t>karya rifki</t>
  </si>
  <si>
    <t>cuan tape</t>
  </si>
  <si>
    <t xml:space="preserve">inner mengelupas </t>
  </si>
  <si>
    <t xml:space="preserve">salah posisi pallet </t>
  </si>
  <si>
    <t xml:space="preserve"> 3 x 7 x 340</t>
  </si>
  <si>
    <t>2 Pallet</t>
  </si>
  <si>
    <t>lembab</t>
  </si>
  <si>
    <t xml:space="preserve">re drying </t>
  </si>
  <si>
    <t>Proses drying tidak optimal</t>
  </si>
  <si>
    <t>635 pcs</t>
  </si>
  <si>
    <t xml:space="preserve">MC high dan menyusut </t>
  </si>
  <si>
    <t>Low FC</t>
  </si>
  <si>
    <t>seret / penyok</t>
  </si>
  <si>
    <t xml:space="preserve">terkelupas </t>
  </si>
  <si>
    <t xml:space="preserve">MC high </t>
  </si>
  <si>
    <t>All Spv</t>
  </si>
  <si>
    <t xml:space="preserve"> 3 x 8 x 2050</t>
  </si>
  <si>
    <t>All SPv</t>
  </si>
  <si>
    <t>nov</t>
  </si>
  <si>
    <t>76 x 8 x 2000</t>
  </si>
  <si>
    <t>Salah input PO</t>
  </si>
  <si>
    <t>YKK</t>
  </si>
  <si>
    <t>L over</t>
  </si>
  <si>
    <t>ID Small</t>
  </si>
  <si>
    <t>3 x 8 x 1090</t>
  </si>
  <si>
    <t>L (+) 2 mm</t>
  </si>
  <si>
    <t>3 x 12 x 2156</t>
  </si>
  <si>
    <t>3 x 8 x 2200 ®</t>
  </si>
  <si>
    <t>ID (+), g no go 76,6-76,7 dan berdebu</t>
  </si>
  <si>
    <t>3 x 9 x 247 dan 287</t>
  </si>
  <si>
    <t>wringkle</t>
  </si>
  <si>
    <t>Indofood cikupa</t>
  </si>
  <si>
    <t>oktober</t>
  </si>
  <si>
    <t>3 x 7 x 2156
3 x 12 x 2156</t>
  </si>
  <si>
    <t xml:space="preserve">300 dan </t>
  </si>
  <si>
    <t>ID +</t>
  </si>
  <si>
    <t>12,8 x 3 x 900</t>
  </si>
  <si>
    <t>Kraft kelupas</t>
  </si>
  <si>
    <t>Drying</t>
  </si>
  <si>
    <t>miss komunikasi spec</t>
  </si>
  <si>
    <t>ubah spec</t>
  </si>
  <si>
    <t>ubah spec menjadi -2/+0</t>
  </si>
  <si>
    <t>3 x 7 x 200</t>
  </si>
  <si>
    <t>Tebal kurang</t>
  </si>
  <si>
    <t>3 x 9 x 220</t>
  </si>
  <si>
    <t>6 x 10 x 1088</t>
  </si>
  <si>
    <t xml:space="preserve">Spec +1mm </t>
  </si>
  <si>
    <t>2 x 8 x 2000</t>
  </si>
  <si>
    <t>retur 300 pcs</t>
  </si>
  <si>
    <t>retur 105 pcs</t>
  </si>
  <si>
    <t>Wringkle</t>
  </si>
  <si>
    <t>Outer Kelupas</t>
  </si>
  <si>
    <t>indopoly</t>
  </si>
  <si>
    <t>Des</t>
  </si>
  <si>
    <t>Pura Roto</t>
  </si>
  <si>
    <t>76,5 x 12 x 1300</t>
  </si>
  <si>
    <t>Label 152 x 12 x 1300 (salah label)</t>
  </si>
  <si>
    <t>3 x 7 x 220</t>
  </si>
  <si>
    <t>SJL 3 x 7 x 285 (Salah Item)</t>
  </si>
  <si>
    <t>78 x 15 x 415</t>
  </si>
  <si>
    <t>Qty Aktual (1918 pcs)  tidak sesuai SJL (2000 pcs)</t>
  </si>
  <si>
    <t xml:space="preserve">nov </t>
  </si>
  <si>
    <t>kumpulam</t>
  </si>
  <si>
    <t>77 x 2,5 x 1260 (KRP)</t>
  </si>
  <si>
    <t>minta ganti 7 pcs</t>
  </si>
  <si>
    <t>28 nov aldi (firman), Raswan (sugeng)</t>
  </si>
  <si>
    <t>Pak gun 4030</t>
  </si>
  <si>
    <t>All spv</t>
  </si>
  <si>
    <t xml:space="preserve">Indokorda </t>
  </si>
  <si>
    <t>Corrygated cap</t>
  </si>
  <si>
    <t xml:space="preserve">Salah Qty sehingga di retur </t>
  </si>
  <si>
    <t xml:space="preserve">Feedback </t>
  </si>
  <si>
    <t>Jun</t>
  </si>
  <si>
    <t>Jul</t>
  </si>
  <si>
    <t>Oct</t>
  </si>
  <si>
    <t>Nov</t>
  </si>
  <si>
    <t xml:space="preserve"> Pengecekan MC saat in proses sampai outgoing diperbanyak, n = 6 / pallet menjadi n= 15 / pallet </t>
  </si>
  <si>
    <t xml:space="preserve">akibat ketidak stabilan Moisture Content sehingga Paper core menyusut, efek dari perubahan cuaca yang cukup ekstrim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</si>
</sst>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i/>
      <sz val="36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16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16" fontId="6" fillId="0" borderId="4" xfId="0" applyNumberFormat="1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6" borderId="0" xfId="0" applyFill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0" fillId="0" borderId="9" xfId="0" applyBorder="1"/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16" fontId="6" fillId="3" borderId="1" xfId="0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" fontId="6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5" fontId="6" fillId="0" borderId="1" xfId="0" applyNumberFormat="1" applyFont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16" fontId="6" fillId="8" borderId="1" xfId="0" applyNumberFormat="1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15" fontId="6" fillId="8" borderId="1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16" fontId="6" fillId="0" borderId="2" xfId="0" applyNumberFormat="1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16" fontId="6" fillId="0" borderId="9" xfId="0" applyNumberFormat="1" applyFont="1" applyBorder="1" applyAlignment="1">
      <alignment vertical="center" wrapText="1"/>
    </xf>
    <xf numFmtId="16" fontId="6" fillId="3" borderId="1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16" fontId="6" fillId="3" borderId="4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vertical="center" wrapText="1"/>
    </xf>
    <xf numFmtId="0" fontId="6" fillId="10" borderId="5" xfId="0" applyFont="1" applyFill="1" applyBorder="1" applyAlignment="1">
      <alignment vertical="center" wrapText="1"/>
    </xf>
    <xf numFmtId="0" fontId="6" fillId="10" borderId="1" xfId="0" quotePrefix="1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 wrapText="1"/>
    </xf>
    <xf numFmtId="0" fontId="6" fillId="10" borderId="1" xfId="0" quotePrefix="1" applyFont="1" applyFill="1" applyBorder="1" applyAlignment="1">
      <alignment horizontal="center" vertical="center" wrapText="1"/>
    </xf>
    <xf numFmtId="0" fontId="6" fillId="10" borderId="0" xfId="0" applyFont="1" applyFill="1" applyAlignment="1">
      <alignment vertical="center" wrapText="1"/>
    </xf>
    <xf numFmtId="0" fontId="6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4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6" fillId="11" borderId="1" xfId="0" quotePrefix="1" applyFont="1" applyFill="1" applyBorder="1" applyAlignment="1">
      <alignment vertical="center" wrapText="1"/>
    </xf>
    <xf numFmtId="0" fontId="6" fillId="11" borderId="2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wrapText="1"/>
    </xf>
    <xf numFmtId="0" fontId="6" fillId="11" borderId="1" xfId="0" applyFont="1" applyFill="1" applyBorder="1"/>
    <xf numFmtId="0" fontId="12" fillId="11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vertical="center" wrapText="1"/>
    </xf>
    <xf numFmtId="0" fontId="6" fillId="11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6" fillId="0" borderId="4" xfId="0" applyNumberFormat="1" applyFont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15" fontId="6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6" fontId="6" fillId="0" borderId="3" xfId="0" applyNumberFormat="1" applyFont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16" fontId="6" fillId="0" borderId="2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16" fontId="6" fillId="0" borderId="3" xfId="0" applyNumberFormat="1" applyFont="1" applyBorder="1" applyAlignment="1">
      <alignment vertical="center" wrapText="1"/>
    </xf>
    <xf numFmtId="0" fontId="6" fillId="0" borderId="3" xfId="0" quotePrefix="1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6" fontId="6" fillId="0" borderId="4" xfId="0" applyNumberFormat="1" applyFont="1" applyBorder="1" applyAlignment="1">
      <alignment vertical="center" wrapText="1"/>
    </xf>
    <xf numFmtId="0" fontId="6" fillId="11" borderId="3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6" fillId="0" borderId="4" xfId="0" quotePrefix="1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vertical="center" wrapText="1"/>
    </xf>
    <xf numFmtId="16" fontId="6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alcChain" Target="calcChain.xml"/><Relationship Id="rId59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06/relationships/rdRichValue" Target="richData/rdrichvalu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800"/>
              <a:t>Jumlah Feedback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741460872236493E-2"/>
          <c:y val="2.1900719483349002E-2"/>
          <c:w val="0.97587897841682703"/>
          <c:h val="0.96020696554015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'Daftar CCR quality'!$R$176</c:f>
              <c:strCache>
                <c:ptCount val="1"/>
                <c:pt idx="0">
                  <c:v>Jumlah Feedback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'Daftar CCR quality'!$Q$177:$Q$190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Apr</c:v>
                </c:pt>
                <c:pt idx="5">
                  <c:v>Apr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Des</c:v>
                </c:pt>
              </c:strCache>
            </c:strRef>
          </c:cat>
          <c:val>
            <c:numRef>
              <c:f>'Daftar CCR quality'!$R$177:$R$190</c:f>
              <c:numCache>
                <c:formatCode>General</c:formatCode>
                <c:ptCount val="14"/>
                <c:pt idx="0">
                  <c:v>26</c:v>
                </c:pt>
                <c:pt idx="1">
                  <c:v>5</c:v>
                </c:pt>
                <c:pt idx="2">
                  <c:v>13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20</c:v>
                </c:pt>
                <c:pt idx="7">
                  <c:v>6</c:v>
                </c:pt>
                <c:pt idx="8">
                  <c:v>18</c:v>
                </c:pt>
                <c:pt idx="9">
                  <c:v>19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8-46C3-AE73-BFAC261CC4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24911888"/>
        <c:axId val="-24909168"/>
      </c:barChart>
      <c:catAx>
        <c:axId val="-2491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4909168"/>
        <c:crosses val="autoZero"/>
        <c:auto val="1"/>
        <c:lblAlgn val="ctr"/>
        <c:lblOffset val="100"/>
        <c:noMultiLvlLbl val="0"/>
      </c:catAx>
      <c:valAx>
        <c:axId val="-2490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491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Data Feedback complain</a:t>
            </a:r>
            <a:r>
              <a:rPr lang="en-US" baseline="0">
                <a:solidFill>
                  <a:sysClr val="windowText" lastClr="000000"/>
                </a:solidFill>
              </a:rPr>
              <a:t> Customer 2024  </a:t>
            </a:r>
            <a:r>
              <a:rPr lang="en-US">
                <a:solidFill>
                  <a:sysClr val="windowText" lastClr="00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tahunan'!$B$2</c:f>
              <c:strCache>
                <c:ptCount val="1"/>
                <c:pt idx="0">
                  <c:v>Feedback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'Grafik tahunan'!$A$3:$A$14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'Grafik tahunan'!$B$3:$B$14</c:f>
              <c:numCache>
                <c:formatCode>General</c:formatCode>
                <c:ptCount val="12"/>
                <c:pt idx="0">
                  <c:v>26</c:v>
                </c:pt>
                <c:pt idx="1">
                  <c:v>5</c:v>
                </c:pt>
                <c:pt idx="2">
                  <c:v>13</c:v>
                </c:pt>
                <c:pt idx="3">
                  <c:v>2</c:v>
                </c:pt>
                <c:pt idx="4">
                  <c:v>20</c:v>
                </c:pt>
                <c:pt idx="5">
                  <c:v>6</c:v>
                </c:pt>
                <c:pt idx="6">
                  <c:v>18</c:v>
                </c:pt>
                <c:pt idx="7">
                  <c:v>19</c:v>
                </c:pt>
                <c:pt idx="8">
                  <c:v>14</c:v>
                </c:pt>
                <c:pt idx="9">
                  <c:v>11</c:v>
                </c:pt>
                <c:pt idx="10">
                  <c:v>12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1-47CB-823F-7429DDDA75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24905904"/>
        <c:axId val="-24912432"/>
      </c:barChart>
      <c:catAx>
        <c:axId val="-2490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4912432"/>
        <c:crosses val="autoZero"/>
        <c:auto val="1"/>
        <c:lblAlgn val="ctr"/>
        <c:lblOffset val="100"/>
        <c:noMultiLvlLbl val="0"/>
      </c:catAx>
      <c:valAx>
        <c:axId val="-2491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490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Desember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_xlchart.v1.1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4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majorTickMarks type="in"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Defect PT Wahana Bermuda Nusantara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 Desember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_xlchart.v1.4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6"/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Defect PT Wahana Bermuda Nusantara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 November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_xlchart.v1.7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 b="1">
                <a:solidFill>
                  <a:schemeClr val="tx1"/>
                </a:solidFill>
              </a:defRPr>
            </a:pPr>
            <a:endParaRPr lang="en-US" sz="8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4"/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November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_xlchart.v1.10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majorTickMarks type="in"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Oktober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_xlchart.v1.13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majorTickMarks type="in"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Defect PT Wahana Bermuda Nusantara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 Oktober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_xlchart.v1.16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 b="1">
                <a:solidFill>
                  <a:schemeClr val="tx1"/>
                </a:solidFill>
              </a:defRPr>
            </a:pPr>
            <a:endParaRPr lang="en-US" sz="8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3"/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Defect PT Wahana Bermuda Nusantara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 September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_xlchart.v1.19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 b="1">
                <a:solidFill>
                  <a:schemeClr val="tx1"/>
                </a:solidFill>
              </a:defRPr>
            </a:pPr>
            <a:endParaRPr lang="en-US" sz="8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3"/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September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_xlchart.v1.22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majorTickMarks type="in"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Agustus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_xlchart.v1.25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majorTickMarks type="in"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Defect PT Wahana Bermuda Nusantara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 Agustus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_xlchart.v1.28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 b="1">
                <a:solidFill>
                  <a:schemeClr val="tx1"/>
                </a:solidFill>
              </a:defRPr>
            </a:pPr>
            <a:endParaRPr lang="en-US" sz="8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6"/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Juli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_xlchart.v1.31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7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majorTickMarks type="in"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Defect PT Wahana Bermuda Nusantara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 Juli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_xlchart.v1.34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n-US" sz="11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val">
        <cx:f>_xlchart.v1.38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Juli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_xlchart.v1.37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7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majorTickMarks type="in"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Juni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_xlchart.v1.40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2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majorTickMarks type="in"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</cx:f>
      </cx:strDim>
      <cx:numDim type="val">
        <cx:f>_xlchart.v1.44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Defect PT Wahana Bermuda Nusantara Juni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_xlchart.v1.43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4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_xlchart.v1.45</cx:f>
      </cx:strDim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Defect PT Wahana Bermuda Nusantara Mei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_xlchart.v1.46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12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_xlchart.v1.48</cx:f>
      </cx:strDim>
      <cx:numDim type="val">
        <cx:f>_xlchart.v1.50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Customer Feedback Quality by Customer PT Wahana Bermuda Nusantara Mei 2024</a:t>
            </a:r>
          </a:p>
          <a:p>
            <a:pPr algn="ctr" rtl="0">
              <a:defRPr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_xlchart.v1.49</cx:f>
              <cx:v>Frekuensi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10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chemeClr val="tx1"/>
                  </a:solidFill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</cx:f>
      </cx:strDim>
      <cx:numDim type="val">
        <cx:f>_xlchart.v1.53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Customer Feedback Quality by Customer PT Wahana Bermuda Nusantara Maret 2024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_xlchart.v1.52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Defect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Defect</a:t>
              </a:r>
            </a:p>
          </cx:txPr>
        </cx:title>
        <cx:tickLabels/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</cx:f>
      </cx:strDim>
      <cx:numDim type="val">
        <cx:f>_xlchart.v1.56</cx:f>
      </cx:numDim>
    </cx:data>
  </cx:chartData>
  <cx:chart>
    <cx:title pos="t" align="ctr" overlay="0">
      <cx:tx>
        <cx:txData>
          <cx:v>Customer Feedback Quality by Defect PT Wahana Bermuda Nusantara Maret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Feedback Quality by Defect PT Wahana Bermuda Nusantara Maret 2024</a:t>
          </a:r>
        </a:p>
      </cx:txPr>
    </cx:title>
    <cx:plotArea>
      <cx:plotAreaRegion>
        <cx:series layoutId="clusteredColumn" uniqueId="{1E6AB60D-54F9-46DC-823D-35A7AAE31069}">
          <cx:tx>
            <cx:txData>
              <cx:f>_xlchart.v1.55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/>
        <cx:tickLabels/>
      </cx:axis>
      <cx:axis id="1">
        <cx:valScaling max="5"/>
        <cx:title/>
        <cx:majorGridlines/>
        <cx:tickLabels/>
        <cx:numFmt formatCode="General" sourceLinked="0"/>
      </cx:axis>
      <cx:axis id="2">
        <cx:valScaling max="1" min="0"/>
        <cx:title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</cx:f>
      </cx:strDim>
      <cx:numDim type="val">
        <cx:f>_xlchart.v1.59</cx:f>
      </cx:numDim>
    </cx:data>
  </cx:chartData>
  <cx:chart>
    <cx:title pos="t" align="ctr" overlay="0">
      <cx:tx>
        <cx:txData>
          <cx:v>Customer Feedback Warehouse by Customer PT Wahana Bermuda Nusantara April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Feedback Warehouse by Customer PT Wahana Bermuda Nusantara April 2024</a:t>
          </a:r>
        </a:p>
      </cx:txPr>
    </cx:title>
    <cx:plotArea>
      <cx:plotAreaRegion>
        <cx:series layoutId="clusteredColumn" uniqueId="{1E6AB60D-54F9-46DC-823D-35A7AAE31069}">
          <cx:tx>
            <cx:txData>
              <cx:f>_xlchart.v1.58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</cx:f>
      </cx:strDim>
      <cx:numDim type="val">
        <cx:f>_xlchart.v1.62</cx:f>
      </cx:numDim>
    </cx:data>
  </cx:chartData>
  <cx:chart>
    <cx:title pos="t" align="ctr" overlay="0">
      <cx:tx>
        <cx:txData>
          <cx:v>Customer Feedback Warehouse by Defect PT Wahana Bermuda Nusantara April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Feedback Warehouse by Defect PT Wahana Bermuda Nusantara April 2024</a:t>
          </a:r>
        </a:p>
      </cx:txPr>
    </cx:title>
    <cx:plotArea>
      <cx:plotAreaRegion>
        <cx:series layoutId="clusteredColumn" uniqueId="{1E6AB60D-54F9-46DC-823D-35A7AAE31069}">
          <cx:tx>
            <cx:txData>
              <cx:f>_xlchart.v1.61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Defect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Defect</a:t>
              </a:r>
            </a:p>
          </cx:txPr>
        </cx:title>
        <cx:tickLabels/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_xlchart.v1.63</cx:f>
      </cx:strDim>
      <cx:numDim type="val">
        <cx:f>_xlchart.v1.65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Diagram Complain Customer Feedback Quality by Defect PT Wahana Bermuda Nusantara Februari 2024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_xlchart.v1.64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 Cacat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 Cacat </a:t>
              </a:r>
            </a:p>
          </cx:txPr>
        </cx:title>
        <cx:tickLabels/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_xlchart.v1.66</cx:f>
      </cx:strDim>
      <cx:numDim type="val">
        <cx:f>_xlchart.v1.68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Diagram Complain Customer Feedback Quality by Defect PT Wahana Bermuda Nusantara Januari 2024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_xlchart.v1.67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 Cacat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 Cacat </a:t>
              </a:r>
            </a:p>
          </cx:txPr>
        </cx:title>
        <cx:tickLabels/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_xlchart.v1.69</cx:f>
      </cx:strDim>
      <cx:numDim type="val">
        <cx:f>_xlchart.v1.71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Diagram Complain Customer Feedback by Defect PT Wahana Bermuda Nusantara Januari 2024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_xlchart.v1.70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 Cacat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 Cacat </a:t>
              </a:r>
            </a:p>
          </cx:txPr>
        </cx:title>
        <cx:tickLabels/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_xlchart.v1.72</cx:f>
      </cx:strDim>
      <cx:numDim type="val">
        <cx:f>_xlchart.v1.74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Diagram Complain Customer Feedback by Defect PT Wahana Bermuda Nusantara Januari 2024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1E6AB60D-54F9-46DC-823D-35A7AAE31069}">
          <cx:tx>
            <cx:txData>
              <cx:f>_xlchart.v1.73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 Cacat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 Cacat </a:t>
              </a:r>
            </a:p>
          </cx:txPr>
        </cx:title>
        <cx:tickLabels/>
      </cx:axis>
      <cx:axis id="1">
        <cx:valScaling max="5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_xlchart.v1.75</cx:f>
      </cx:strDim>
      <cx:numDim type="val">
        <cx:f>_xlchart.v1.77</cx:f>
      </cx:numDim>
    </cx:data>
  </cx:chartData>
  <cx:chart>
    <cx:title pos="t" align="ctr" overlay="0">
      <cx:tx>
        <cx:txData>
          <cx:v>Diagram Complain by Customer Januari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Diagram Complain by Customer Januari 2024</a:t>
          </a:r>
        </a:p>
      </cx:txPr>
    </cx:title>
    <cx:plotArea>
      <cx:plotAreaRegion>
        <cx:series layoutId="clusteredColumn" uniqueId="{1E6AB60D-54F9-46DC-823D-35A7AAE31069}">
          <cx:tx>
            <cx:txData>
              <cx:f>_xlchart.v1.76</cx:f>
              <cx:v>Frekuensi 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7821911-5969-4125-8AF8-6F101C9DA1A4}">
          <cx:axisId val="2"/>
        </cx:series>
      </cx:plotAreaRegion>
      <cx:axis id="0">
        <cx:catScaling gapWidth="0"/>
        <cx:title>
          <cx:tx>
            <cx:txData>
              <cx:v>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Customer</a:t>
              </a:r>
            </a:p>
          </cx:txPr>
        </cx:title>
        <cx:tickLabels/>
      </cx:axis>
      <cx:axis id="1">
        <cx:valScaling max="6"/>
        <cx:title>
          <cx:tx>
            <cx:txData>
              <cx:v>Frekuensi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Frekuensi</a:t>
              </a:r>
            </a:p>
          </cx:txPr>
        </cx:title>
        <cx:majorGridlines/>
        <cx:tickLabels/>
        <cx:numFmt formatCode="General" sourceLinked="0"/>
      </cx:axis>
      <cx:axis id="2">
        <cx:valScaling max="1" min="0"/>
        <cx:units unit="percentage"/>
        <cx:tickLabels/>
      </cx:axis>
    </cx:plotArea>
  </cx:chart>
  <cx:printSettings>
    <cx:headerFooter alignWithMargins="1" differentOddEven="0" differentFirst="0"/>
    <cx:pageMargins l="0.25" r="0.25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15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_rels/drawing16.xml.rels><?xml version="1.0" encoding="UTF-8" standalone="yes"?>
<Relationships xmlns="http://schemas.openxmlformats.org/package/2006/relationships"><Relationship Id="rId1" Type="http://schemas.microsoft.com/office/2014/relationships/chartEx" Target="../charts/chartEx12.xml"/></Relationships>
</file>

<file path=xl/drawings/_rels/drawing17.xml.rels><?xml version="1.0" encoding="UTF-8" standalone="yes"?>
<Relationships xmlns="http://schemas.openxmlformats.org/package/2006/relationships"><Relationship Id="rId1" Type="http://schemas.microsoft.com/office/2014/relationships/chartEx" Target="../charts/chartEx13.xml"/></Relationships>
</file>

<file path=xl/drawings/_rels/drawing18.xml.rels><?xml version="1.0" encoding="UTF-8" standalone="yes"?>
<Relationships xmlns="http://schemas.openxmlformats.org/package/2006/relationships"><Relationship Id="rId1" Type="http://schemas.microsoft.com/office/2014/relationships/chartEx" Target="../charts/chartEx14.xml"/></Relationships>
</file>

<file path=xl/drawings/_rels/drawing19.xml.rels><?xml version="1.0" encoding="UTF-8" standalone="yes"?>
<Relationships xmlns="http://schemas.openxmlformats.org/package/2006/relationships"><Relationship Id="rId1" Type="http://schemas.microsoft.com/office/2014/relationships/chartEx" Target="../charts/chartEx15.xml"/></Relationships>
</file>

<file path=xl/drawings/_rels/drawing20.xml.rels><?xml version="1.0" encoding="UTF-8" standalone="yes"?>
<Relationships xmlns="http://schemas.openxmlformats.org/package/2006/relationships"><Relationship Id="rId1" Type="http://schemas.microsoft.com/office/2014/relationships/chartEx" Target="../charts/chartEx16.xml"/></Relationships>
</file>

<file path=xl/drawings/_rels/drawing21.xml.rels><?xml version="1.0" encoding="UTF-8" standalone="yes"?>
<Relationships xmlns="http://schemas.openxmlformats.org/package/2006/relationships"><Relationship Id="rId1" Type="http://schemas.microsoft.com/office/2014/relationships/chartEx" Target="../charts/chartEx17.xml"/></Relationships>
</file>

<file path=xl/drawings/_rels/drawing22.xml.rels><?xml version="1.0" encoding="UTF-8" standalone="yes"?>
<Relationships xmlns="http://schemas.openxmlformats.org/package/2006/relationships"><Relationship Id="rId1" Type="http://schemas.microsoft.com/office/2014/relationships/chartEx" Target="../charts/chartEx18.xml"/></Relationships>
</file>

<file path=xl/drawings/_rels/drawing23.xml.rels><?xml version="1.0" encoding="UTF-8" standalone="yes"?>
<Relationships xmlns="http://schemas.openxmlformats.org/package/2006/relationships"><Relationship Id="rId1" Type="http://schemas.microsoft.com/office/2014/relationships/chartEx" Target="../charts/chartEx19.xml"/></Relationships>
</file>

<file path=xl/drawings/_rels/drawing24.xml.rels><?xml version="1.0" encoding="UTF-8" standalone="yes"?>
<Relationships xmlns="http://schemas.openxmlformats.org/package/2006/relationships"><Relationship Id="rId1" Type="http://schemas.microsoft.com/office/2014/relationships/chartEx" Target="../charts/chartEx20.xml"/></Relationships>
</file>

<file path=xl/drawings/_rels/drawing25.xml.rels><?xml version="1.0" encoding="UTF-8" standalone="yes"?>
<Relationships xmlns="http://schemas.openxmlformats.org/package/2006/relationships"><Relationship Id="rId1" Type="http://schemas.microsoft.com/office/2014/relationships/chartEx" Target="../charts/chartEx21.xml"/></Relationships>
</file>

<file path=xl/drawings/_rels/drawing26.xml.rels><?xml version="1.0" encoding="UTF-8" standalone="yes"?>
<Relationships xmlns="http://schemas.openxmlformats.org/package/2006/relationships"><Relationship Id="rId1" Type="http://schemas.microsoft.com/office/2014/relationships/chartEx" Target="../charts/chartEx22.xml"/></Relationships>
</file>

<file path=xl/drawings/_rels/drawing27.xml.rels><?xml version="1.0" encoding="UTF-8" standalone="yes"?>
<Relationships xmlns="http://schemas.openxmlformats.org/package/2006/relationships"><Relationship Id="rId1" Type="http://schemas.microsoft.com/office/2014/relationships/chartEx" Target="../charts/chartEx23.xml"/></Relationships>
</file>

<file path=xl/drawings/_rels/drawing28.xml.rels><?xml version="1.0" encoding="UTF-8" standalone="yes"?>
<Relationships xmlns="http://schemas.openxmlformats.org/package/2006/relationships"><Relationship Id="rId1" Type="http://schemas.microsoft.com/office/2014/relationships/chartEx" Target="../charts/chartEx24.xml"/></Relationships>
</file>

<file path=xl/drawings/_rels/drawing29.xml.rels><?xml version="1.0" encoding="UTF-8" standalone="yes"?>
<Relationships xmlns="http://schemas.openxmlformats.org/package/2006/relationships"><Relationship Id="rId1" Type="http://schemas.microsoft.com/office/2014/relationships/chartEx" Target="../charts/chartEx25.xml"/></Relationships>
</file>

<file path=xl/drawings/_rels/drawing30.xml.rels><?xml version="1.0" encoding="UTF-8" standalone="yes"?>
<Relationships xmlns="http://schemas.openxmlformats.org/package/2006/relationships"><Relationship Id="rId1" Type="http://schemas.microsoft.com/office/2014/relationships/chartEx" Target="../charts/chartEx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256363</xdr:colOff>
      <xdr:row>0</xdr:row>
      <xdr:rowOff>0</xdr:rowOff>
    </xdr:from>
    <xdr:to>
      <xdr:col>3</xdr:col>
      <xdr:colOff>1959318</xdr:colOff>
      <xdr:row>2</xdr:row>
      <xdr:rowOff>470126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F32F7-507E-4B12-91AB-DB8571D6FF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63" y="0"/>
          <a:ext cx="6159294" cy="2409144"/>
        </a:xfrm>
        <a:prstGeom prst="rect">
          <a:avLst/>
        </a:prstGeom>
      </xdr:spPr>
    </xdr:pic>
    <xdr:clientData/>
  </xdr:twoCellAnchor>
  <xdr:twoCellAnchor>
    <xdr:from>
      <xdr:col>20</xdr:col>
      <xdr:colOff>3342</xdr:colOff>
      <xdr:row>172</xdr:row>
      <xdr:rowOff>2579689</xdr:rowOff>
    </xdr:from>
    <xdr:to>
      <xdr:col>49</xdr:col>
      <xdr:colOff>0</xdr:colOff>
      <xdr:row>175</xdr:row>
      <xdr:rowOff>2755896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F6B668-E687-79DD-7987-E750FA9BE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464344</xdr:colOff>
      <xdr:row>4</xdr:row>
      <xdr:rowOff>140494</xdr:rowOff>
    </xdr:from>
    <xdr:to>
      <xdr:col>7</xdr:col>
      <xdr:colOff>1524001</xdr:colOff>
      <xdr:row>11</xdr:row>
      <xdr:rowOff>365126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CEFBE-3927-3624-C848-7241B81ED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1</xdr:row>
      <xdr:rowOff>111126</xdr:rowOff>
    </xdr:from>
    <xdr:to>
      <xdr:col>7</xdr:col>
      <xdr:colOff>1488281</xdr:colOff>
      <xdr:row>12</xdr:row>
      <xdr:rowOff>87313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51D30B5-B256-4863-9465-CD089DF42D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301626"/>
              <a:ext cx="6896895" cy="37988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190498</xdr:colOff>
      <xdr:row>1</xdr:row>
      <xdr:rowOff>83344</xdr:rowOff>
    </xdr:from>
    <xdr:to>
      <xdr:col>7</xdr:col>
      <xdr:colOff>1444624</xdr:colOff>
      <xdr:row>9</xdr:row>
      <xdr:rowOff>349250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F5AD8E6-2EAC-43AF-BA8D-393866F320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3698" y="273844"/>
              <a:ext cx="6829426" cy="31234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190498</xdr:colOff>
      <xdr:row>1</xdr:row>
      <xdr:rowOff>83344</xdr:rowOff>
    </xdr:from>
    <xdr:to>
      <xdr:col>7</xdr:col>
      <xdr:colOff>1444624</xdr:colOff>
      <xdr:row>10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B0660E1-5A2C-483A-A4F7-5F3468A1A5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3698" y="273844"/>
              <a:ext cx="6829426" cy="3155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1</xdr:row>
      <xdr:rowOff>111125</xdr:rowOff>
    </xdr:from>
    <xdr:to>
      <xdr:col>7</xdr:col>
      <xdr:colOff>1488281</xdr:colOff>
      <xdr:row>12</xdr:row>
      <xdr:rowOff>1588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F92C8E-90C0-42E9-9F18-AA511E28B1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301625"/>
              <a:ext cx="6896895" cy="3141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448468</xdr:colOff>
      <xdr:row>0</xdr:row>
      <xdr:rowOff>200421</xdr:rowOff>
    </xdr:from>
    <xdr:to>
      <xdr:col>2</xdr:col>
      <xdr:colOff>695014</xdr:colOff>
      <xdr:row>1</xdr:row>
      <xdr:rowOff>261776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05543-B853-4D60-BF0E-E73B3B91E3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0421"/>
          <a:ext cx="2257114" cy="8424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448468</xdr:colOff>
      <xdr:row>0</xdr:row>
      <xdr:rowOff>200421</xdr:rowOff>
    </xdr:from>
    <xdr:to>
      <xdr:col>2</xdr:col>
      <xdr:colOff>695014</xdr:colOff>
      <xdr:row>1</xdr:row>
      <xdr:rowOff>261776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8C375-8E15-4BA3-8916-BF049FD50F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0421"/>
          <a:ext cx="2257114" cy="8424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1</xdr:row>
      <xdr:rowOff>111125</xdr:rowOff>
    </xdr:from>
    <xdr:to>
      <xdr:col>7</xdr:col>
      <xdr:colOff>1488281</xdr:colOff>
      <xdr:row>15</xdr:row>
      <xdr:rowOff>1588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E63D155-4E31-4643-8178-34273CF0DB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301625"/>
              <a:ext cx="6896895" cy="4284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190498</xdr:colOff>
      <xdr:row>1</xdr:row>
      <xdr:rowOff>83344</xdr:rowOff>
    </xdr:from>
    <xdr:to>
      <xdr:col>7</xdr:col>
      <xdr:colOff>1444624</xdr:colOff>
      <xdr:row>12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78DA163-A840-47B4-A824-FF39232896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3698" y="273844"/>
              <a:ext cx="6829426" cy="3917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190498</xdr:colOff>
      <xdr:row>1</xdr:row>
      <xdr:rowOff>83344</xdr:rowOff>
    </xdr:from>
    <xdr:to>
      <xdr:col>7</xdr:col>
      <xdr:colOff>1444624</xdr:colOff>
      <xdr:row>12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3F9AAA-3196-4BF9-81A7-581F626AFE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3698" y="273844"/>
              <a:ext cx="6829426" cy="3917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1</xdr:row>
      <xdr:rowOff>111125</xdr:rowOff>
    </xdr:from>
    <xdr:to>
      <xdr:col>7</xdr:col>
      <xdr:colOff>1488281</xdr:colOff>
      <xdr:row>14</xdr:row>
      <xdr:rowOff>1588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4F63E89-E43E-4FB8-88A2-DA2DA855CE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301625"/>
              <a:ext cx="6896895" cy="3903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3</xdr:row>
      <xdr:rowOff>357188</xdr:rowOff>
    </xdr:from>
    <xdr:to>
      <xdr:col>7</xdr:col>
      <xdr:colOff>1488281</xdr:colOff>
      <xdr:row>16</xdr:row>
      <xdr:rowOff>1587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F5E82F4-F3A6-46F3-9F43-9F7D1CD17D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1119188"/>
              <a:ext cx="6896895" cy="3848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190498</xdr:colOff>
      <xdr:row>1</xdr:row>
      <xdr:rowOff>83344</xdr:rowOff>
    </xdr:from>
    <xdr:to>
      <xdr:col>7</xdr:col>
      <xdr:colOff>1444624</xdr:colOff>
      <xdr:row>12</xdr:row>
      <xdr:rowOff>119063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05117C-DF48-497F-8D17-27EC78DEC0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3698" y="273844"/>
              <a:ext cx="6829426" cy="4036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2</xdr:row>
      <xdr:rowOff>48194</xdr:rowOff>
    </xdr:from>
    <xdr:to>
      <xdr:col>7</xdr:col>
      <xdr:colOff>1488281</xdr:colOff>
      <xdr:row>15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5A5DA9-9EA9-47D6-9660-17100D55EB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429194"/>
              <a:ext cx="6896895" cy="4536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190499</xdr:colOff>
      <xdr:row>1</xdr:row>
      <xdr:rowOff>83344</xdr:rowOff>
    </xdr:from>
    <xdr:to>
      <xdr:col>7</xdr:col>
      <xdr:colOff>1143000</xdr:colOff>
      <xdr:row>11</xdr:row>
      <xdr:rowOff>226219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BC570B-FCAD-4656-9A60-FF3966FB98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3699" y="273844"/>
              <a:ext cx="6527801" cy="3762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2</xdr:row>
      <xdr:rowOff>48194</xdr:rowOff>
    </xdr:from>
    <xdr:to>
      <xdr:col>7</xdr:col>
      <xdr:colOff>1488281</xdr:colOff>
      <xdr:row>15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AEDA9F-0B65-4208-B63C-5202522E30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429194"/>
              <a:ext cx="6896895" cy="4536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2</xdr:row>
      <xdr:rowOff>48194</xdr:rowOff>
    </xdr:from>
    <xdr:to>
      <xdr:col>7</xdr:col>
      <xdr:colOff>1488281</xdr:colOff>
      <xdr:row>11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B8FD59-114D-4433-ADE1-77C13084F7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429194"/>
              <a:ext cx="6896895" cy="3012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2</xdr:row>
      <xdr:rowOff>48195</xdr:rowOff>
    </xdr:from>
    <xdr:to>
      <xdr:col>7</xdr:col>
      <xdr:colOff>1654968</xdr:colOff>
      <xdr:row>13</xdr:row>
      <xdr:rowOff>130969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C67AB9-8E13-4D97-B717-442C05F5A4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429195"/>
              <a:ext cx="7063582" cy="2952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2</xdr:row>
      <xdr:rowOff>48195</xdr:rowOff>
    </xdr:from>
    <xdr:to>
      <xdr:col>7</xdr:col>
      <xdr:colOff>1654968</xdr:colOff>
      <xdr:row>12</xdr:row>
      <xdr:rowOff>71436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AFB7FC-B300-495D-BD31-0BDFE33DCD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429195"/>
              <a:ext cx="7063582" cy="3655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2</xdr:row>
      <xdr:rowOff>48194</xdr:rowOff>
    </xdr:from>
    <xdr:to>
      <xdr:col>7</xdr:col>
      <xdr:colOff>1488281</xdr:colOff>
      <xdr:row>11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E72C835-746B-47B0-A9BA-754B0C3EF8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9886" y="429194"/>
              <a:ext cx="6896895" cy="3012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345280</xdr:colOff>
      <xdr:row>2</xdr:row>
      <xdr:rowOff>202977</xdr:rowOff>
    </xdr:from>
    <xdr:to>
      <xdr:col>7</xdr:col>
      <xdr:colOff>1833562</xdr:colOff>
      <xdr:row>12</xdr:row>
      <xdr:rowOff>59531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5501B5-89D5-4353-B5E8-033319144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8480" y="583977"/>
              <a:ext cx="7063582" cy="3488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345280</xdr:colOff>
      <xdr:row>2</xdr:row>
      <xdr:rowOff>202977</xdr:rowOff>
    </xdr:from>
    <xdr:to>
      <xdr:col>7</xdr:col>
      <xdr:colOff>1833562</xdr:colOff>
      <xdr:row>13</xdr:row>
      <xdr:rowOff>59531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449200-EC29-4190-9E81-B877B6F1E1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8480" y="583977"/>
              <a:ext cx="7063582" cy="3869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345280</xdr:colOff>
      <xdr:row>2</xdr:row>
      <xdr:rowOff>0</xdr:rowOff>
    </xdr:from>
    <xdr:to>
      <xdr:col>7</xdr:col>
      <xdr:colOff>1833562</xdr:colOff>
      <xdr:row>13</xdr:row>
      <xdr:rowOff>59531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581422-8F40-476E-9425-EEB17A1F59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8480" y="381000"/>
              <a:ext cx="7063582" cy="27392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345280</xdr:colOff>
      <xdr:row>2</xdr:row>
      <xdr:rowOff>0</xdr:rowOff>
    </xdr:from>
    <xdr:to>
      <xdr:col>7</xdr:col>
      <xdr:colOff>1833562</xdr:colOff>
      <xdr:row>14</xdr:row>
      <xdr:rowOff>59531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9C9036-FAD9-4A2F-A682-9DA54FE645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8480" y="381000"/>
              <a:ext cx="7063582" cy="31202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488156</xdr:colOff>
      <xdr:row>1</xdr:row>
      <xdr:rowOff>571</xdr:rowOff>
    </xdr:from>
    <xdr:to>
      <xdr:col>7</xdr:col>
      <xdr:colOff>928687</xdr:colOff>
      <xdr:row>11</xdr:row>
      <xdr:rowOff>154781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C8FC17-9D85-4184-A13A-5CD35C1568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1356" y="191071"/>
              <a:ext cx="6015831" cy="283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488156</xdr:colOff>
      <xdr:row>1</xdr:row>
      <xdr:rowOff>570</xdr:rowOff>
    </xdr:from>
    <xdr:to>
      <xdr:col>9</xdr:col>
      <xdr:colOff>95251</xdr:colOff>
      <xdr:row>9</xdr:row>
      <xdr:rowOff>226219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8F0E121-9F76-478A-B4AA-120666B806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1356" y="191070"/>
              <a:ext cx="7976395" cy="3083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500062</xdr:colOff>
      <xdr:row>0</xdr:row>
      <xdr:rowOff>130968</xdr:rowOff>
    </xdr:from>
    <xdr:to>
      <xdr:col>7</xdr:col>
      <xdr:colOff>1476374</xdr:colOff>
      <xdr:row>12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F6087C-1F7B-4440-90D8-E77A2FAB8C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3262" y="130968"/>
              <a:ext cx="6551612" cy="29297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2</xdr:row>
      <xdr:rowOff>142874</xdr:rowOff>
    </xdr:from>
    <xdr:to>
      <xdr:col>13</xdr:col>
      <xdr:colOff>190501</xdr:colOff>
      <xdr:row>5</xdr:row>
      <xdr:rowOff>369094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26BA833-BFA6-4BC0-B872-A7C358738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37275" y="523874"/>
              <a:ext cx="7858126" cy="1369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200704</xdr:colOff>
      <xdr:row>2</xdr:row>
      <xdr:rowOff>12475</xdr:rowOff>
    </xdr:from>
    <xdr:to>
      <xdr:col>7</xdr:col>
      <xdr:colOff>1369218</xdr:colOff>
      <xdr:row>8</xdr:row>
      <xdr:rowOff>309562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E3B4895-A53A-440B-902A-516BDD092B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3904" y="393475"/>
              <a:ext cx="6743814" cy="2583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B228"/>
  <sheetViews>
    <sheetView tabSelected="1" topLeftCell="B1" zoomScale="25" zoomScaleNormal="20" zoomScaleSheetLayoutView="13" workbookViewId="0">
      <pane ySplit="4" topLeftCell="A46" activePane="bottomLeft" state="frozen"/>
      <selection activeCell="G11" sqref="G11"/>
      <selection pane="bottomLeft" activeCell="E50" sqref="E50"/>
    </sheetView>
  </sheetViews>
  <sheetFormatPr baseColWidth="10" defaultColWidth="9.1640625" defaultRowHeight="29"/>
  <cols>
    <col min="1" max="1" width="23.5" style="9" hidden="1" customWidth="1"/>
    <col min="2" max="2" width="23.5" style="9" customWidth="1"/>
    <col min="3" max="3" width="43.33203125" style="9" customWidth="1"/>
    <col min="4" max="4" width="45.33203125" style="107" customWidth="1"/>
    <col min="5" max="5" width="64.83203125" style="107" customWidth="1"/>
    <col min="6" max="6" width="40.5" style="9" customWidth="1"/>
    <col min="7" max="7" width="63.1640625" style="107" customWidth="1"/>
    <col min="8" max="8" width="77.1640625" style="91" customWidth="1"/>
    <col min="9" max="9" width="61.1640625" style="9" customWidth="1"/>
    <col min="10" max="10" width="67.83203125" style="9" customWidth="1"/>
    <col min="11" max="11" width="52.33203125" style="9" bestFit="1" customWidth="1"/>
    <col min="12" max="12" width="36.83203125" style="9" customWidth="1"/>
    <col min="13" max="14" width="55" style="9" customWidth="1"/>
    <col min="15" max="15" width="41.33203125" style="9" customWidth="1"/>
    <col min="16" max="16" width="25.1640625" style="9" hidden="1" customWidth="1"/>
    <col min="17" max="17" width="35" style="9" customWidth="1"/>
    <col min="18" max="18" width="31.1640625" style="9" customWidth="1"/>
    <col min="19" max="19" width="36.5" style="9" customWidth="1"/>
    <col min="20" max="20" width="20.6640625" style="9" customWidth="1"/>
    <col min="21" max="16384" width="9.1640625" style="9"/>
  </cols>
  <sheetData>
    <row r="1" spans="1:22" ht="61.5" customHeight="1">
      <c r="B1" s="123"/>
      <c r="C1" s="124"/>
      <c r="D1" s="125"/>
      <c r="E1" s="133" t="s">
        <v>853</v>
      </c>
      <c r="F1" s="133"/>
      <c r="G1" s="133"/>
      <c r="H1" s="133"/>
      <c r="I1" s="133"/>
      <c r="J1" s="133"/>
      <c r="K1" s="133"/>
      <c r="L1" s="133"/>
      <c r="M1" s="133"/>
      <c r="N1" s="117" t="s">
        <v>852</v>
      </c>
      <c r="O1" s="118"/>
    </row>
    <row r="2" spans="1:22" ht="92.25" customHeight="1">
      <c r="B2" s="126"/>
      <c r="C2" s="127"/>
      <c r="D2" s="128"/>
      <c r="E2" s="132" t="s">
        <v>94</v>
      </c>
      <c r="F2" s="132"/>
      <c r="G2" s="132"/>
      <c r="H2" s="132"/>
      <c r="I2" s="132"/>
      <c r="J2" s="132"/>
      <c r="K2" s="132"/>
      <c r="L2" s="132"/>
      <c r="M2" s="132"/>
      <c r="N2" s="119"/>
      <c r="O2" s="120"/>
    </row>
    <row r="3" spans="1:22" ht="61.5" customHeight="1">
      <c r="B3" s="129"/>
      <c r="C3" s="130"/>
      <c r="D3" s="131"/>
      <c r="E3" s="132"/>
      <c r="F3" s="132"/>
      <c r="G3" s="132"/>
      <c r="H3" s="132"/>
      <c r="I3" s="132"/>
      <c r="J3" s="132"/>
      <c r="K3" s="132"/>
      <c r="L3" s="132"/>
      <c r="M3" s="132"/>
      <c r="N3" s="121"/>
      <c r="O3" s="122"/>
    </row>
    <row r="4" spans="1:22" s="8" customFormat="1" ht="114" customHeight="1">
      <c r="A4" s="5" t="s">
        <v>30</v>
      </c>
      <c r="B4" s="24" t="s">
        <v>117</v>
      </c>
      <c r="C4" s="24" t="s">
        <v>7</v>
      </c>
      <c r="D4" s="92" t="s">
        <v>0</v>
      </c>
      <c r="E4" s="92" t="s">
        <v>14</v>
      </c>
      <c r="F4" s="24" t="s">
        <v>10</v>
      </c>
      <c r="G4" s="92" t="s">
        <v>1</v>
      </c>
      <c r="H4" s="80" t="s">
        <v>2</v>
      </c>
      <c r="I4" s="24" t="s">
        <v>4</v>
      </c>
      <c r="J4" s="24" t="s">
        <v>5</v>
      </c>
      <c r="K4" s="24" t="s">
        <v>12</v>
      </c>
      <c r="L4" s="24" t="s">
        <v>693</v>
      </c>
      <c r="M4" s="24" t="s">
        <v>13</v>
      </c>
      <c r="N4" s="24" t="s">
        <v>657</v>
      </c>
      <c r="O4" s="24" t="s">
        <v>639</v>
      </c>
      <c r="P4" s="6" t="s">
        <v>21</v>
      </c>
      <c r="Q4" s="8" t="s">
        <v>0</v>
      </c>
      <c r="R4" s="8" t="s">
        <v>71</v>
      </c>
    </row>
    <row r="5" spans="1:22" s="8" customFormat="1" ht="78.75" customHeight="1">
      <c r="A5" s="10">
        <v>1</v>
      </c>
      <c r="B5" s="10">
        <v>1</v>
      </c>
      <c r="C5" s="25">
        <v>45293</v>
      </c>
      <c r="D5" s="93" t="s">
        <v>73</v>
      </c>
      <c r="E5" s="93" t="s">
        <v>56</v>
      </c>
      <c r="F5" s="10">
        <v>58</v>
      </c>
      <c r="G5" s="93" t="s">
        <v>96</v>
      </c>
      <c r="H5" s="81" t="s">
        <v>97</v>
      </c>
      <c r="I5" s="10" t="s">
        <v>6</v>
      </c>
      <c r="J5" s="10" t="s">
        <v>98</v>
      </c>
      <c r="K5" s="26"/>
      <c r="L5" s="10" t="s">
        <v>99</v>
      </c>
      <c r="M5" s="16" t="s">
        <v>16</v>
      </c>
      <c r="N5" s="16" t="s">
        <v>659</v>
      </c>
      <c r="O5" s="16" t="s">
        <v>55</v>
      </c>
      <c r="P5" s="6"/>
    </row>
    <row r="6" spans="1:22" s="8" customFormat="1" ht="87" customHeight="1">
      <c r="A6" s="10">
        <v>2</v>
      </c>
      <c r="B6" s="10">
        <v>2</v>
      </c>
      <c r="C6" s="25">
        <v>45296</v>
      </c>
      <c r="D6" s="93" t="s">
        <v>100</v>
      </c>
      <c r="E6" s="93" t="s">
        <v>127</v>
      </c>
      <c r="F6" s="10">
        <v>940</v>
      </c>
      <c r="G6" s="93" t="s">
        <v>101</v>
      </c>
      <c r="H6" s="81" t="s">
        <v>102</v>
      </c>
      <c r="I6" s="10" t="s">
        <v>6</v>
      </c>
      <c r="J6" s="10" t="s">
        <v>103</v>
      </c>
      <c r="K6" s="11">
        <v>45296</v>
      </c>
      <c r="L6" s="11">
        <v>45295</v>
      </c>
      <c r="M6" s="16" t="s">
        <v>16</v>
      </c>
      <c r="N6" s="16" t="s">
        <v>659</v>
      </c>
      <c r="O6" s="16" t="s">
        <v>55</v>
      </c>
      <c r="P6" s="6"/>
    </row>
    <row r="7" spans="1:22" s="8" customFormat="1" ht="171" customHeight="1">
      <c r="A7" s="10">
        <v>3</v>
      </c>
      <c r="B7" s="28">
        <v>3</v>
      </c>
      <c r="C7" s="149">
        <v>45299</v>
      </c>
      <c r="D7" s="151" t="s">
        <v>29</v>
      </c>
      <c r="E7" s="93" t="s">
        <v>104</v>
      </c>
      <c r="F7" s="10">
        <v>150</v>
      </c>
      <c r="G7" s="151" t="s">
        <v>106</v>
      </c>
      <c r="H7" s="81" t="s">
        <v>631</v>
      </c>
      <c r="I7" s="113" t="s">
        <v>6</v>
      </c>
      <c r="J7" s="10" t="s">
        <v>632</v>
      </c>
      <c r="K7" s="10" t="s">
        <v>634</v>
      </c>
      <c r="L7" s="10" t="s">
        <v>640</v>
      </c>
      <c r="M7" s="16" t="s">
        <v>642</v>
      </c>
      <c r="N7" s="16" t="s">
        <v>659</v>
      </c>
      <c r="O7" s="16" t="s">
        <v>55</v>
      </c>
      <c r="P7" s="6"/>
      <c r="Q7" s="6"/>
      <c r="R7" s="6"/>
      <c r="S7" s="6"/>
      <c r="T7" s="6"/>
      <c r="U7" s="6"/>
      <c r="V7" s="6"/>
    </row>
    <row r="8" spans="1:22" s="8" customFormat="1" ht="83.25" customHeight="1">
      <c r="A8" s="10">
        <v>4</v>
      </c>
      <c r="B8" s="28">
        <v>4</v>
      </c>
      <c r="C8" s="150"/>
      <c r="D8" s="152"/>
      <c r="E8" s="93" t="s">
        <v>105</v>
      </c>
      <c r="F8" s="10">
        <v>268</v>
      </c>
      <c r="G8" s="152"/>
      <c r="H8" s="81" t="s">
        <v>631</v>
      </c>
      <c r="I8" s="114"/>
      <c r="J8" s="10" t="s">
        <v>632</v>
      </c>
      <c r="K8" s="10" t="s">
        <v>635</v>
      </c>
      <c r="L8" s="10" t="s">
        <v>640</v>
      </c>
      <c r="M8" s="16" t="s">
        <v>642</v>
      </c>
      <c r="N8" s="16" t="s">
        <v>659</v>
      </c>
      <c r="O8" s="16" t="s">
        <v>55</v>
      </c>
      <c r="P8" s="6"/>
    </row>
    <row r="9" spans="1:22" s="8" customFormat="1" ht="81.75" customHeight="1">
      <c r="A9" s="10">
        <v>5</v>
      </c>
      <c r="B9" s="10">
        <v>5</v>
      </c>
      <c r="C9" s="25">
        <v>45300</v>
      </c>
      <c r="D9" s="93" t="s">
        <v>73</v>
      </c>
      <c r="E9" s="93" t="s">
        <v>107</v>
      </c>
      <c r="F9" s="10">
        <v>5</v>
      </c>
      <c r="G9" s="93" t="s">
        <v>109</v>
      </c>
      <c r="H9" s="81" t="s">
        <v>110</v>
      </c>
      <c r="I9" s="10" t="s">
        <v>113</v>
      </c>
      <c r="J9" s="10" t="s">
        <v>633</v>
      </c>
      <c r="K9" s="25">
        <v>45299</v>
      </c>
      <c r="L9" s="25">
        <v>45299</v>
      </c>
      <c r="M9" s="16" t="s">
        <v>17</v>
      </c>
      <c r="N9" s="16" t="s">
        <v>659</v>
      </c>
      <c r="O9" s="16" t="s">
        <v>55</v>
      </c>
      <c r="P9" s="6"/>
    </row>
    <row r="10" spans="1:22" s="8" customFormat="1" ht="224.25" customHeight="1">
      <c r="A10" s="10">
        <v>6</v>
      </c>
      <c r="B10" s="10">
        <v>6</v>
      </c>
      <c r="C10" s="25">
        <v>45300</v>
      </c>
      <c r="D10" s="93" t="s">
        <v>81</v>
      </c>
      <c r="E10" s="93" t="s">
        <v>108</v>
      </c>
      <c r="F10" s="10">
        <v>150</v>
      </c>
      <c r="G10" s="93" t="s">
        <v>175</v>
      </c>
      <c r="H10" s="81" t="s">
        <v>636</v>
      </c>
      <c r="I10" s="10" t="s">
        <v>114</v>
      </c>
      <c r="J10" s="10" t="s">
        <v>637</v>
      </c>
      <c r="K10" s="25">
        <v>45300</v>
      </c>
      <c r="L10" s="11">
        <v>45299</v>
      </c>
      <c r="M10" s="16" t="s">
        <v>643</v>
      </c>
      <c r="N10" s="16" t="s">
        <v>659</v>
      </c>
      <c r="O10" s="16" t="s">
        <v>55</v>
      </c>
      <c r="P10" s="6"/>
      <c r="V10" s="8" t="s">
        <v>50</v>
      </c>
    </row>
    <row r="11" spans="1:22" s="8" customFormat="1" ht="72" customHeight="1">
      <c r="A11" s="10">
        <v>7</v>
      </c>
      <c r="B11" s="10">
        <v>7</v>
      </c>
      <c r="C11" s="25">
        <v>45303</v>
      </c>
      <c r="D11" s="93" t="s">
        <v>81</v>
      </c>
      <c r="E11" s="93" t="s">
        <v>108</v>
      </c>
      <c r="F11" s="10">
        <v>150</v>
      </c>
      <c r="G11" s="93" t="s">
        <v>112</v>
      </c>
      <c r="H11" s="81" t="s">
        <v>644</v>
      </c>
      <c r="I11" s="10" t="s">
        <v>115</v>
      </c>
      <c r="J11" s="10" t="s">
        <v>116</v>
      </c>
      <c r="K11" s="11">
        <v>45303</v>
      </c>
      <c r="L11" s="11">
        <v>45298</v>
      </c>
      <c r="M11" s="16" t="s">
        <v>645</v>
      </c>
      <c r="N11" s="16" t="s">
        <v>659</v>
      </c>
      <c r="O11" s="16" t="s">
        <v>55</v>
      </c>
      <c r="P11" s="6"/>
    </row>
    <row r="12" spans="1:22" s="8" customFormat="1" ht="158.25" customHeight="1">
      <c r="A12" s="10"/>
      <c r="B12" s="10">
        <v>8</v>
      </c>
      <c r="C12" s="25">
        <v>45308</v>
      </c>
      <c r="D12" s="93" t="s">
        <v>118</v>
      </c>
      <c r="E12" s="93" t="s">
        <v>119</v>
      </c>
      <c r="F12" s="10">
        <v>1834</v>
      </c>
      <c r="G12" s="93" t="s">
        <v>120</v>
      </c>
      <c r="H12" s="81" t="s">
        <v>121</v>
      </c>
      <c r="I12" s="10" t="s">
        <v>122</v>
      </c>
      <c r="J12" s="10" t="s">
        <v>646</v>
      </c>
      <c r="K12" s="25">
        <v>45308</v>
      </c>
      <c r="L12" s="11">
        <v>45306</v>
      </c>
      <c r="M12" s="16" t="s">
        <v>647</v>
      </c>
      <c r="N12" s="16" t="s">
        <v>659</v>
      </c>
      <c r="O12" s="16" t="s">
        <v>55</v>
      </c>
      <c r="P12" s="6"/>
    </row>
    <row r="13" spans="1:22" s="8" customFormat="1" ht="105.75" customHeight="1">
      <c r="A13" s="10"/>
      <c r="B13" s="10">
        <v>9</v>
      </c>
      <c r="C13" s="25">
        <v>45309</v>
      </c>
      <c r="D13" s="93" t="s">
        <v>123</v>
      </c>
      <c r="E13" s="93" t="s">
        <v>124</v>
      </c>
      <c r="F13" s="10">
        <v>200</v>
      </c>
      <c r="G13" s="93" t="s">
        <v>125</v>
      </c>
      <c r="H13" s="81" t="s">
        <v>648</v>
      </c>
      <c r="I13" s="10" t="s">
        <v>193</v>
      </c>
      <c r="J13" s="10" t="s">
        <v>649</v>
      </c>
      <c r="K13" s="11">
        <v>45301</v>
      </c>
      <c r="L13" s="11">
        <v>45299</v>
      </c>
      <c r="M13" s="16" t="s">
        <v>17</v>
      </c>
      <c r="N13" s="16" t="s">
        <v>658</v>
      </c>
      <c r="O13" s="16" t="s">
        <v>55</v>
      </c>
      <c r="P13" s="6"/>
    </row>
    <row r="14" spans="1:22" s="8" customFormat="1" ht="109.5" customHeight="1">
      <c r="A14" s="10"/>
      <c r="B14" s="10">
        <v>10</v>
      </c>
      <c r="C14" s="25">
        <v>45309</v>
      </c>
      <c r="D14" s="93" t="s">
        <v>100</v>
      </c>
      <c r="E14" s="93" t="s">
        <v>126</v>
      </c>
      <c r="F14" s="10">
        <v>342</v>
      </c>
      <c r="G14" s="93" t="s">
        <v>650</v>
      </c>
      <c r="H14" s="81" t="s">
        <v>651</v>
      </c>
      <c r="I14" s="10" t="s">
        <v>6</v>
      </c>
      <c r="J14" s="10" t="s">
        <v>652</v>
      </c>
      <c r="K14" s="11">
        <v>45605</v>
      </c>
      <c r="L14" s="11">
        <v>45603</v>
      </c>
      <c r="M14" s="16" t="s">
        <v>22</v>
      </c>
      <c r="N14" s="16" t="s">
        <v>659</v>
      </c>
      <c r="O14" s="16" t="s">
        <v>55</v>
      </c>
      <c r="P14" s="6"/>
    </row>
    <row r="15" spans="1:22" s="8" customFormat="1" ht="109.5" customHeight="1">
      <c r="A15" s="10"/>
      <c r="B15" s="10">
        <v>11</v>
      </c>
      <c r="C15" s="25">
        <v>45311</v>
      </c>
      <c r="D15" s="93" t="s">
        <v>128</v>
      </c>
      <c r="E15" s="93" t="s">
        <v>129</v>
      </c>
      <c r="F15" s="10">
        <v>1000</v>
      </c>
      <c r="G15" s="93" t="s">
        <v>130</v>
      </c>
      <c r="H15" s="81" t="s">
        <v>653</v>
      </c>
      <c r="I15" s="10" t="s">
        <v>654</v>
      </c>
      <c r="J15" s="10" t="s">
        <v>655</v>
      </c>
      <c r="K15" s="11">
        <v>45305</v>
      </c>
      <c r="L15" s="11">
        <v>45304</v>
      </c>
      <c r="M15" s="16" t="s">
        <v>16</v>
      </c>
      <c r="N15" s="16" t="s">
        <v>658</v>
      </c>
      <c r="O15" s="16" t="s">
        <v>55</v>
      </c>
      <c r="P15" s="6"/>
    </row>
    <row r="16" spans="1:22" s="8" customFormat="1" ht="147" customHeight="1">
      <c r="A16" s="10"/>
      <c r="B16" s="10">
        <v>12</v>
      </c>
      <c r="C16" s="25">
        <v>45313</v>
      </c>
      <c r="D16" s="93" t="s">
        <v>81</v>
      </c>
      <c r="E16" s="93" t="s">
        <v>202</v>
      </c>
      <c r="F16" s="10">
        <v>150</v>
      </c>
      <c r="G16" s="93" t="s">
        <v>132</v>
      </c>
      <c r="H16" s="81" t="s">
        <v>644</v>
      </c>
      <c r="I16" s="10" t="s">
        <v>115</v>
      </c>
      <c r="J16" s="10" t="s">
        <v>116</v>
      </c>
      <c r="K16" s="25">
        <v>45310</v>
      </c>
      <c r="L16" s="11">
        <v>45311</v>
      </c>
      <c r="M16" s="16" t="s">
        <v>18</v>
      </c>
      <c r="N16" s="16" t="s">
        <v>659</v>
      </c>
      <c r="O16" s="16" t="s">
        <v>55</v>
      </c>
      <c r="P16" s="6"/>
    </row>
    <row r="17" spans="1:22" s="8" customFormat="1" ht="203.25" customHeight="1">
      <c r="A17" s="10"/>
      <c r="B17" s="10">
        <v>13</v>
      </c>
      <c r="C17" s="25">
        <v>45313</v>
      </c>
      <c r="D17" s="93" t="s">
        <v>133</v>
      </c>
      <c r="E17" s="93" t="s">
        <v>206</v>
      </c>
      <c r="F17" s="10">
        <v>1000</v>
      </c>
      <c r="G17" s="93" t="s">
        <v>134</v>
      </c>
      <c r="H17" s="81" t="s">
        <v>135</v>
      </c>
      <c r="I17" s="10" t="s">
        <v>136</v>
      </c>
      <c r="J17" s="10" t="s">
        <v>656</v>
      </c>
      <c r="K17" s="25">
        <v>45313</v>
      </c>
      <c r="L17" s="11">
        <v>45312</v>
      </c>
      <c r="M17" s="16" t="s">
        <v>33</v>
      </c>
      <c r="N17" s="16" t="s">
        <v>659</v>
      </c>
      <c r="O17" s="16" t="s">
        <v>55</v>
      </c>
      <c r="P17" s="6"/>
    </row>
    <row r="18" spans="1:22" s="8" customFormat="1" ht="109.5" customHeight="1">
      <c r="A18" s="10"/>
      <c r="B18" s="10">
        <v>14</v>
      </c>
      <c r="C18" s="25">
        <v>45313</v>
      </c>
      <c r="D18" s="93" t="s">
        <v>81</v>
      </c>
      <c r="E18" s="93" t="s">
        <v>131</v>
      </c>
      <c r="F18" s="10">
        <v>450</v>
      </c>
      <c r="G18" s="93" t="s">
        <v>137</v>
      </c>
      <c r="H18" s="81" t="s">
        <v>660</v>
      </c>
      <c r="I18" s="10" t="s">
        <v>661</v>
      </c>
      <c r="J18" s="10" t="s">
        <v>662</v>
      </c>
      <c r="K18" s="25">
        <v>45313</v>
      </c>
      <c r="L18" s="11">
        <v>45312</v>
      </c>
      <c r="M18" s="16" t="s">
        <v>645</v>
      </c>
      <c r="N18" s="16" t="s">
        <v>659</v>
      </c>
      <c r="O18" s="16" t="s">
        <v>55</v>
      </c>
      <c r="P18" s="6"/>
    </row>
    <row r="19" spans="1:22" s="8" customFormat="1" ht="109.5" customHeight="1">
      <c r="A19" s="10"/>
      <c r="B19" s="42">
        <v>15</v>
      </c>
      <c r="C19" s="149">
        <v>45313</v>
      </c>
      <c r="D19" s="151" t="s">
        <v>212</v>
      </c>
      <c r="E19" s="93" t="s">
        <v>105</v>
      </c>
      <c r="F19" s="42">
        <v>260</v>
      </c>
      <c r="G19" s="94" t="s">
        <v>215</v>
      </c>
      <c r="H19" s="81" t="s">
        <v>663</v>
      </c>
      <c r="I19" s="42" t="s">
        <v>664</v>
      </c>
      <c r="J19" s="10" t="s">
        <v>665</v>
      </c>
      <c r="K19" s="52" t="s">
        <v>634</v>
      </c>
      <c r="L19" s="10" t="s">
        <v>640</v>
      </c>
      <c r="M19" s="16" t="s">
        <v>647</v>
      </c>
      <c r="N19" s="16" t="s">
        <v>659</v>
      </c>
      <c r="O19" s="67" t="s">
        <v>55</v>
      </c>
      <c r="P19" s="6"/>
    </row>
    <row r="20" spans="1:22" s="8" customFormat="1" ht="109.5" customHeight="1">
      <c r="A20" s="10"/>
      <c r="B20" s="42">
        <v>16</v>
      </c>
      <c r="C20" s="163"/>
      <c r="D20" s="162"/>
      <c r="E20" s="93" t="s">
        <v>213</v>
      </c>
      <c r="F20" s="42">
        <v>40</v>
      </c>
      <c r="G20" s="94" t="s">
        <v>216</v>
      </c>
      <c r="H20" s="81" t="s">
        <v>666</v>
      </c>
      <c r="I20" s="42" t="s">
        <v>37</v>
      </c>
      <c r="J20" s="10" t="s">
        <v>667</v>
      </c>
      <c r="K20" s="52" t="s">
        <v>635</v>
      </c>
      <c r="L20" s="10" t="s">
        <v>640</v>
      </c>
      <c r="M20" s="16" t="s">
        <v>641</v>
      </c>
      <c r="N20" s="16" t="s">
        <v>659</v>
      </c>
      <c r="O20" s="16" t="s">
        <v>55</v>
      </c>
      <c r="P20" s="6"/>
    </row>
    <row r="21" spans="1:22" s="8" customFormat="1" ht="109.5" customHeight="1">
      <c r="A21" s="10"/>
      <c r="B21" s="42">
        <v>17</v>
      </c>
      <c r="C21" s="150"/>
      <c r="D21" s="152"/>
      <c r="E21" s="93" t="s">
        <v>214</v>
      </c>
      <c r="F21" s="42">
        <v>38</v>
      </c>
      <c r="G21" s="94" t="s">
        <v>217</v>
      </c>
      <c r="H21" s="81" t="s">
        <v>666</v>
      </c>
      <c r="I21" s="42" t="s">
        <v>37</v>
      </c>
      <c r="J21" s="10" t="s">
        <v>667</v>
      </c>
      <c r="K21" s="52" t="s">
        <v>635</v>
      </c>
      <c r="L21" s="10" t="s">
        <v>640</v>
      </c>
      <c r="M21" s="16" t="s">
        <v>641</v>
      </c>
      <c r="N21" s="16" t="s">
        <v>659</v>
      </c>
      <c r="O21" s="16" t="s">
        <v>55</v>
      </c>
      <c r="P21" s="6"/>
    </row>
    <row r="22" spans="1:22" s="8" customFormat="1" ht="109.5" customHeight="1">
      <c r="A22" s="10"/>
      <c r="B22" s="42">
        <v>18</v>
      </c>
      <c r="C22" s="52">
        <v>45314</v>
      </c>
      <c r="D22" s="94" t="s">
        <v>207</v>
      </c>
      <c r="E22" s="93" t="s">
        <v>208</v>
      </c>
      <c r="F22" s="42" t="s">
        <v>209</v>
      </c>
      <c r="G22" s="94" t="s">
        <v>210</v>
      </c>
      <c r="H22" s="81" t="s">
        <v>567</v>
      </c>
      <c r="I22" s="42" t="s">
        <v>37</v>
      </c>
      <c r="J22" s="10" t="s">
        <v>668</v>
      </c>
      <c r="K22" s="52" t="s">
        <v>669</v>
      </c>
      <c r="L22" s="10" t="s">
        <v>669</v>
      </c>
      <c r="M22" s="16" t="s">
        <v>670</v>
      </c>
      <c r="N22" s="16" t="s">
        <v>659</v>
      </c>
      <c r="O22" s="16" t="s">
        <v>55</v>
      </c>
      <c r="P22" s="6"/>
    </row>
    <row r="23" spans="1:22" s="8" customFormat="1" ht="109.5" customHeight="1">
      <c r="A23" s="10"/>
      <c r="B23" s="113">
        <v>19</v>
      </c>
      <c r="C23" s="149">
        <v>45315</v>
      </c>
      <c r="D23" s="151" t="s">
        <v>316</v>
      </c>
      <c r="E23" s="93" t="s">
        <v>141</v>
      </c>
      <c r="F23" s="28">
        <v>150</v>
      </c>
      <c r="G23" s="151" t="s">
        <v>143</v>
      </c>
      <c r="H23" s="81" t="s">
        <v>671</v>
      </c>
      <c r="I23" s="113" t="s">
        <v>144</v>
      </c>
      <c r="J23" s="10" t="s">
        <v>672</v>
      </c>
      <c r="K23" s="149">
        <v>45315</v>
      </c>
      <c r="L23" s="11">
        <v>45314</v>
      </c>
      <c r="M23" s="16" t="s">
        <v>17</v>
      </c>
      <c r="N23" s="16" t="s">
        <v>658</v>
      </c>
      <c r="O23" s="16" t="s">
        <v>55</v>
      </c>
      <c r="P23" s="6"/>
    </row>
    <row r="24" spans="1:22" s="8" customFormat="1" ht="109.5" customHeight="1">
      <c r="A24" s="10"/>
      <c r="B24" s="114"/>
      <c r="C24" s="150"/>
      <c r="D24" s="152"/>
      <c r="E24" s="93" t="s">
        <v>142</v>
      </c>
      <c r="F24" s="30">
        <v>150</v>
      </c>
      <c r="G24" s="152"/>
      <c r="H24" s="81" t="s">
        <v>671</v>
      </c>
      <c r="I24" s="114"/>
      <c r="J24" s="10" t="s">
        <v>672</v>
      </c>
      <c r="K24" s="114"/>
      <c r="L24" s="11">
        <v>45314</v>
      </c>
      <c r="M24" s="16" t="s">
        <v>17</v>
      </c>
      <c r="N24" s="16" t="s">
        <v>658</v>
      </c>
      <c r="O24" s="16" t="s">
        <v>55</v>
      </c>
      <c r="P24" s="6"/>
    </row>
    <row r="25" spans="1:22" s="8" customFormat="1" ht="408.75" customHeight="1">
      <c r="A25" s="10"/>
      <c r="B25" s="10">
        <v>20</v>
      </c>
      <c r="C25" s="25">
        <v>45315</v>
      </c>
      <c r="D25" s="93" t="s">
        <v>53</v>
      </c>
      <c r="E25" s="93" t="s">
        <v>139</v>
      </c>
      <c r="F25" s="10">
        <v>176</v>
      </c>
      <c r="G25" s="93" t="s">
        <v>140</v>
      </c>
      <c r="H25" s="81" t="s">
        <v>149</v>
      </c>
      <c r="I25" s="10" t="s">
        <v>42</v>
      </c>
      <c r="J25" s="10" t="s">
        <v>150</v>
      </c>
      <c r="K25" s="25">
        <v>45299</v>
      </c>
      <c r="L25" s="11">
        <v>45298</v>
      </c>
      <c r="M25" s="16" t="s">
        <v>17</v>
      </c>
      <c r="N25" s="16" t="s">
        <v>659</v>
      </c>
      <c r="O25" s="16" t="s">
        <v>55</v>
      </c>
      <c r="P25" s="6"/>
    </row>
    <row r="26" spans="1:22" s="8" customFormat="1" ht="109.5" customHeight="1">
      <c r="A26" s="10"/>
      <c r="B26" s="10">
        <v>21</v>
      </c>
      <c r="C26" s="25">
        <v>45317</v>
      </c>
      <c r="D26" s="93" t="s">
        <v>81</v>
      </c>
      <c r="E26" s="93" t="s">
        <v>211</v>
      </c>
      <c r="F26" s="10">
        <v>150</v>
      </c>
      <c r="G26" s="93" t="s">
        <v>62</v>
      </c>
      <c r="H26" s="81" t="s">
        <v>644</v>
      </c>
      <c r="I26" s="10" t="s">
        <v>6</v>
      </c>
      <c r="J26" s="10" t="s">
        <v>116</v>
      </c>
      <c r="K26" s="11">
        <v>45317</v>
      </c>
      <c r="L26" s="11">
        <v>45316</v>
      </c>
      <c r="M26" s="16" t="s">
        <v>18</v>
      </c>
      <c r="N26" s="16" t="s">
        <v>659</v>
      </c>
      <c r="O26" s="16" t="s">
        <v>55</v>
      </c>
      <c r="P26" s="6"/>
    </row>
    <row r="27" spans="1:22" s="8" customFormat="1" ht="109.5" customHeight="1">
      <c r="A27" s="10"/>
      <c r="B27" s="10">
        <v>22</v>
      </c>
      <c r="C27" s="149">
        <v>45317</v>
      </c>
      <c r="D27" s="151" t="s">
        <v>29</v>
      </c>
      <c r="E27" s="93" t="s">
        <v>218</v>
      </c>
      <c r="F27" s="10">
        <v>120</v>
      </c>
      <c r="G27" s="96" t="s">
        <v>19</v>
      </c>
      <c r="H27" s="81" t="s">
        <v>663</v>
      </c>
      <c r="I27" s="42" t="s">
        <v>664</v>
      </c>
      <c r="J27" s="10" t="s">
        <v>665</v>
      </c>
      <c r="K27" s="52" t="s">
        <v>634</v>
      </c>
      <c r="L27" s="10" t="s">
        <v>640</v>
      </c>
      <c r="M27" s="16" t="s">
        <v>647</v>
      </c>
      <c r="N27" s="16" t="s">
        <v>659</v>
      </c>
      <c r="O27" s="16" t="s">
        <v>55</v>
      </c>
      <c r="P27" s="6"/>
    </row>
    <row r="28" spans="1:22" s="8" customFormat="1" ht="109.5" customHeight="1">
      <c r="A28" s="10"/>
      <c r="B28" s="10">
        <v>23</v>
      </c>
      <c r="C28" s="163"/>
      <c r="D28" s="162"/>
      <c r="E28" s="93" t="s">
        <v>213</v>
      </c>
      <c r="F28" s="10">
        <v>140</v>
      </c>
      <c r="G28" s="162" t="s">
        <v>216</v>
      </c>
      <c r="H28" s="81" t="s">
        <v>666</v>
      </c>
      <c r="I28" s="42" t="s">
        <v>37</v>
      </c>
      <c r="J28" s="10" t="s">
        <v>667</v>
      </c>
      <c r="K28" s="52" t="s">
        <v>635</v>
      </c>
      <c r="L28" s="10" t="s">
        <v>640</v>
      </c>
      <c r="M28" s="16" t="s">
        <v>641</v>
      </c>
      <c r="N28" s="16" t="s">
        <v>659</v>
      </c>
      <c r="O28" s="16" t="s">
        <v>55</v>
      </c>
      <c r="P28" s="6"/>
    </row>
    <row r="29" spans="1:22" s="8" customFormat="1" ht="109.5" customHeight="1">
      <c r="A29" s="10"/>
      <c r="B29" s="10">
        <v>24</v>
      </c>
      <c r="C29" s="150"/>
      <c r="D29" s="152"/>
      <c r="E29" s="93" t="s">
        <v>219</v>
      </c>
      <c r="F29" s="10">
        <v>215</v>
      </c>
      <c r="G29" s="152"/>
      <c r="H29" s="81" t="s">
        <v>666</v>
      </c>
      <c r="I29" s="42" t="s">
        <v>37</v>
      </c>
      <c r="J29" s="10" t="s">
        <v>667</v>
      </c>
      <c r="K29" s="52" t="s">
        <v>635</v>
      </c>
      <c r="L29" s="10" t="s">
        <v>640</v>
      </c>
      <c r="M29" s="16" t="s">
        <v>641</v>
      </c>
      <c r="N29" s="16" t="s">
        <v>659</v>
      </c>
      <c r="O29" s="16" t="s">
        <v>55</v>
      </c>
      <c r="P29" s="6"/>
    </row>
    <row r="30" spans="1:22" s="8" customFormat="1" ht="120.75" customHeight="1">
      <c r="A30" s="10">
        <v>8</v>
      </c>
      <c r="B30" s="10">
        <v>25</v>
      </c>
      <c r="C30" s="25">
        <v>45320</v>
      </c>
      <c r="D30" s="93" t="s">
        <v>9</v>
      </c>
      <c r="E30" s="93" t="s">
        <v>147</v>
      </c>
      <c r="F30" s="10">
        <v>100</v>
      </c>
      <c r="G30" s="93" t="s">
        <v>148</v>
      </c>
      <c r="H30" s="81" t="s">
        <v>673</v>
      </c>
      <c r="I30" s="10" t="s">
        <v>658</v>
      </c>
      <c r="J30" s="10" t="s">
        <v>674</v>
      </c>
      <c r="K30" s="25">
        <v>45288</v>
      </c>
      <c r="L30" s="11">
        <v>45283</v>
      </c>
      <c r="M30" s="16" t="s">
        <v>675</v>
      </c>
      <c r="N30" s="16" t="s">
        <v>658</v>
      </c>
      <c r="O30" s="16" t="s">
        <v>55</v>
      </c>
      <c r="P30" s="6"/>
      <c r="Q30" s="6"/>
      <c r="R30" s="6"/>
      <c r="S30" s="6"/>
      <c r="T30" s="6"/>
      <c r="U30" s="6"/>
      <c r="V30" s="6"/>
    </row>
    <row r="31" spans="1:22" s="8" customFormat="1" ht="120.75" customHeight="1">
      <c r="A31" s="10"/>
      <c r="B31" s="10">
        <v>26</v>
      </c>
      <c r="C31" s="25">
        <v>45322</v>
      </c>
      <c r="D31" s="93" t="s">
        <v>118</v>
      </c>
      <c r="E31" s="93" t="s">
        <v>119</v>
      </c>
      <c r="F31" s="10">
        <v>740</v>
      </c>
      <c r="G31" s="93" t="s">
        <v>158</v>
      </c>
      <c r="H31" s="81" t="s">
        <v>329</v>
      </c>
      <c r="I31" s="10" t="s">
        <v>330</v>
      </c>
      <c r="J31" s="10" t="s">
        <v>331</v>
      </c>
      <c r="K31" s="25">
        <v>45322</v>
      </c>
      <c r="L31" s="11">
        <v>45320</v>
      </c>
      <c r="M31" s="16" t="s">
        <v>647</v>
      </c>
      <c r="N31" s="16" t="s">
        <v>659</v>
      </c>
      <c r="O31" s="16" t="s">
        <v>55</v>
      </c>
      <c r="P31" s="6"/>
      <c r="Q31" s="6"/>
      <c r="R31" s="6"/>
      <c r="S31" s="6"/>
      <c r="T31" s="6"/>
      <c r="U31" s="6"/>
      <c r="V31" s="6"/>
    </row>
    <row r="32" spans="1:22" ht="77.25" customHeight="1">
      <c r="A32" s="137" t="s">
        <v>20</v>
      </c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9"/>
      <c r="M32" s="145">
        <f>B31</f>
        <v>26</v>
      </c>
      <c r="N32" s="146"/>
      <c r="O32" s="147"/>
      <c r="P32" s="7"/>
    </row>
    <row r="33" spans="1:22" s="8" customFormat="1" ht="288">
      <c r="A33" s="10"/>
      <c r="B33" s="10">
        <v>1</v>
      </c>
      <c r="C33" s="27">
        <v>45327</v>
      </c>
      <c r="D33" s="93" t="s">
        <v>81</v>
      </c>
      <c r="E33" s="93" t="s">
        <v>131</v>
      </c>
      <c r="F33" s="10">
        <v>4</v>
      </c>
      <c r="G33" s="93" t="s">
        <v>177</v>
      </c>
      <c r="H33" s="81" t="s">
        <v>170</v>
      </c>
      <c r="I33" s="10" t="s">
        <v>171</v>
      </c>
      <c r="J33" s="10" t="s">
        <v>172</v>
      </c>
      <c r="K33" s="11">
        <v>45324</v>
      </c>
      <c r="L33" s="11">
        <v>45323</v>
      </c>
      <c r="M33" s="16" t="s">
        <v>676</v>
      </c>
      <c r="N33" s="16" t="s">
        <v>659</v>
      </c>
      <c r="O33" s="16" t="s">
        <v>55</v>
      </c>
      <c r="P33" s="6"/>
    </row>
    <row r="34" spans="1:22" s="8" customFormat="1" ht="125.25" customHeight="1">
      <c r="A34" s="10"/>
      <c r="B34" s="10">
        <v>2</v>
      </c>
      <c r="C34" s="27">
        <v>45328</v>
      </c>
      <c r="D34" s="93" t="s">
        <v>173</v>
      </c>
      <c r="E34" s="93" t="s">
        <v>174</v>
      </c>
      <c r="F34" s="10">
        <v>500</v>
      </c>
      <c r="G34" s="93" t="s">
        <v>182</v>
      </c>
      <c r="H34" s="81" t="s">
        <v>332</v>
      </c>
      <c r="I34" s="10" t="s">
        <v>176</v>
      </c>
      <c r="J34" s="10" t="s">
        <v>677</v>
      </c>
      <c r="K34" s="11">
        <v>45328</v>
      </c>
      <c r="L34" s="11">
        <v>45321</v>
      </c>
      <c r="M34" s="16" t="s">
        <v>22</v>
      </c>
      <c r="N34" s="16" t="s">
        <v>659</v>
      </c>
      <c r="O34" s="16" t="s">
        <v>55</v>
      </c>
      <c r="P34" s="6"/>
    </row>
    <row r="35" spans="1:22" s="8" customFormat="1" ht="230.25" customHeight="1">
      <c r="A35" s="10"/>
      <c r="B35" s="10">
        <v>3</v>
      </c>
      <c r="C35" s="27">
        <v>45329</v>
      </c>
      <c r="D35" s="93" t="s">
        <v>178</v>
      </c>
      <c r="E35" s="93" t="s">
        <v>59</v>
      </c>
      <c r="F35" s="10">
        <v>130</v>
      </c>
      <c r="G35" s="93" t="s">
        <v>60</v>
      </c>
      <c r="H35" s="81" t="s">
        <v>678</v>
      </c>
      <c r="I35" s="10" t="s">
        <v>6</v>
      </c>
      <c r="J35" s="10" t="s">
        <v>679</v>
      </c>
      <c r="K35" s="10" t="s">
        <v>669</v>
      </c>
      <c r="L35" s="10" t="s">
        <v>669</v>
      </c>
      <c r="M35" s="16" t="s">
        <v>33</v>
      </c>
      <c r="N35" s="16" t="s">
        <v>659</v>
      </c>
      <c r="O35" s="16" t="s">
        <v>55</v>
      </c>
      <c r="P35" s="6"/>
    </row>
    <row r="36" spans="1:22" s="8" customFormat="1" ht="117.75" customHeight="1">
      <c r="A36" s="10"/>
      <c r="B36" s="10">
        <v>4</v>
      </c>
      <c r="C36" s="27">
        <v>45344</v>
      </c>
      <c r="D36" s="93" t="s">
        <v>128</v>
      </c>
      <c r="E36" s="93" t="s">
        <v>180</v>
      </c>
      <c r="F36" s="10">
        <v>1000</v>
      </c>
      <c r="G36" s="93" t="s">
        <v>181</v>
      </c>
      <c r="H36" s="81" t="s">
        <v>680</v>
      </c>
      <c r="I36" s="10" t="s">
        <v>192</v>
      </c>
      <c r="J36" s="10" t="s">
        <v>681</v>
      </c>
      <c r="K36" s="11">
        <v>45338</v>
      </c>
      <c r="L36" s="11">
        <v>45336</v>
      </c>
      <c r="M36" s="16" t="s">
        <v>23</v>
      </c>
      <c r="N36" s="16" t="s">
        <v>658</v>
      </c>
      <c r="O36" s="16" t="s">
        <v>55</v>
      </c>
      <c r="P36" s="6"/>
    </row>
    <row r="37" spans="1:22" s="8" customFormat="1" ht="117.75" customHeight="1">
      <c r="A37" s="10"/>
      <c r="B37" s="10">
        <v>5</v>
      </c>
      <c r="C37" s="27">
        <v>45345</v>
      </c>
      <c r="D37" s="93" t="s">
        <v>183</v>
      </c>
      <c r="E37" s="93" t="s">
        <v>206</v>
      </c>
      <c r="F37" s="10">
        <v>868</v>
      </c>
      <c r="G37" s="93" t="s">
        <v>184</v>
      </c>
      <c r="H37" s="81" t="s">
        <v>682</v>
      </c>
      <c r="I37" s="10" t="s">
        <v>220</v>
      </c>
      <c r="J37" s="10" t="s">
        <v>683</v>
      </c>
      <c r="K37" s="10" t="s">
        <v>191</v>
      </c>
      <c r="L37" s="11">
        <v>45343</v>
      </c>
      <c r="M37" s="16" t="s">
        <v>645</v>
      </c>
      <c r="N37" s="16" t="s">
        <v>659</v>
      </c>
      <c r="O37" s="16" t="s">
        <v>638</v>
      </c>
      <c r="P37" s="6"/>
    </row>
    <row r="38" spans="1:22" ht="89.25" customHeight="1">
      <c r="A38" s="140" t="s">
        <v>20</v>
      </c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2"/>
      <c r="M38" s="178">
        <f>B37</f>
        <v>5</v>
      </c>
      <c r="N38" s="178"/>
      <c r="O38" s="178"/>
      <c r="P38" s="7"/>
    </row>
    <row r="39" spans="1:22" ht="242.25" customHeight="1">
      <c r="A39" s="10"/>
      <c r="B39" s="10">
        <v>1</v>
      </c>
      <c r="C39" s="11">
        <v>45356</v>
      </c>
      <c r="D39" s="93" t="s">
        <v>226</v>
      </c>
      <c r="E39" s="93" t="s">
        <v>47</v>
      </c>
      <c r="F39" s="10" t="s">
        <v>229</v>
      </c>
      <c r="G39" s="93" t="s">
        <v>227</v>
      </c>
      <c r="H39" s="81" t="s">
        <v>228</v>
      </c>
      <c r="I39" s="10" t="s">
        <v>684</v>
      </c>
      <c r="J39" s="10" t="s">
        <v>685</v>
      </c>
      <c r="K39" s="11">
        <v>45350</v>
      </c>
      <c r="L39" s="11">
        <v>45349</v>
      </c>
      <c r="M39" s="16" t="s">
        <v>645</v>
      </c>
      <c r="N39" s="16" t="s">
        <v>658</v>
      </c>
      <c r="O39" s="16" t="s">
        <v>55</v>
      </c>
      <c r="P39" s="164" t="s">
        <v>24</v>
      </c>
      <c r="Q39" s="7"/>
      <c r="R39" s="7"/>
      <c r="S39" s="7"/>
      <c r="T39" s="7"/>
      <c r="U39" s="7"/>
      <c r="V39" s="7"/>
    </row>
    <row r="40" spans="1:22" ht="242.25" customHeight="1">
      <c r="A40" s="10"/>
      <c r="B40" s="10">
        <v>2</v>
      </c>
      <c r="C40" s="11">
        <v>45358</v>
      </c>
      <c r="D40" s="93" t="s">
        <v>29</v>
      </c>
      <c r="E40" s="93" t="s">
        <v>247</v>
      </c>
      <c r="F40" s="10">
        <v>320</v>
      </c>
      <c r="G40" s="93" t="s">
        <v>19</v>
      </c>
      <c r="H40" s="81" t="s">
        <v>686</v>
      </c>
      <c r="I40" s="10" t="s">
        <v>687</v>
      </c>
      <c r="J40" s="10" t="s">
        <v>665</v>
      </c>
      <c r="K40" s="11" t="s">
        <v>669</v>
      </c>
      <c r="L40" s="11" t="s">
        <v>669</v>
      </c>
      <c r="M40" s="16" t="s">
        <v>647</v>
      </c>
      <c r="N40" s="16" t="s">
        <v>688</v>
      </c>
      <c r="O40" s="16" t="s">
        <v>58</v>
      </c>
      <c r="P40" s="165"/>
    </row>
    <row r="41" spans="1:22" ht="242.25" customHeight="1">
      <c r="A41" s="10"/>
      <c r="B41" s="10">
        <v>3</v>
      </c>
      <c r="C41" s="11">
        <v>45358</v>
      </c>
      <c r="D41" s="93" t="s">
        <v>251</v>
      </c>
      <c r="E41" s="93" t="s">
        <v>254</v>
      </c>
      <c r="F41" s="10" t="s">
        <v>255</v>
      </c>
      <c r="G41" s="93" t="s">
        <v>256</v>
      </c>
      <c r="H41" s="81" t="s">
        <v>689</v>
      </c>
      <c r="I41" s="10" t="s">
        <v>41</v>
      </c>
      <c r="J41" s="10" t="s">
        <v>690</v>
      </c>
      <c r="K41" s="11" t="s">
        <v>669</v>
      </c>
      <c r="L41" s="11" t="s">
        <v>669</v>
      </c>
      <c r="M41" s="16" t="s">
        <v>647</v>
      </c>
      <c r="N41" s="16" t="s">
        <v>688</v>
      </c>
      <c r="O41" s="16" t="s">
        <v>55</v>
      </c>
      <c r="P41" s="165"/>
    </row>
    <row r="42" spans="1:22" ht="242.25" customHeight="1">
      <c r="A42" s="10"/>
      <c r="B42" s="10">
        <v>4</v>
      </c>
      <c r="C42" s="11">
        <v>45358</v>
      </c>
      <c r="D42" s="93" t="s">
        <v>248</v>
      </c>
      <c r="E42" s="93" t="s">
        <v>249</v>
      </c>
      <c r="F42" s="10"/>
      <c r="G42" s="93" t="s">
        <v>250</v>
      </c>
      <c r="H42" s="81" t="s">
        <v>691</v>
      </c>
      <c r="I42" s="10" t="s">
        <v>658</v>
      </c>
      <c r="J42" s="10" t="s">
        <v>692</v>
      </c>
      <c r="K42" s="11" t="s">
        <v>272</v>
      </c>
      <c r="L42" s="11" t="s">
        <v>694</v>
      </c>
      <c r="M42" s="16" t="s">
        <v>273</v>
      </c>
      <c r="N42" s="16" t="s">
        <v>658</v>
      </c>
      <c r="O42" s="16" t="s">
        <v>55</v>
      </c>
      <c r="P42" s="165"/>
    </row>
    <row r="43" spans="1:22" ht="242.25" customHeight="1">
      <c r="A43" s="10"/>
      <c r="B43" s="10">
        <v>5</v>
      </c>
      <c r="C43" s="57">
        <v>45359</v>
      </c>
      <c r="D43" s="96" t="s">
        <v>133</v>
      </c>
      <c r="E43" s="93">
        <v>1602</v>
      </c>
      <c r="F43" s="10">
        <v>53</v>
      </c>
      <c r="G43" s="93" t="s">
        <v>252</v>
      </c>
      <c r="H43" s="81" t="s">
        <v>682</v>
      </c>
      <c r="I43" s="10" t="s">
        <v>41</v>
      </c>
      <c r="J43" s="10" t="s">
        <v>695</v>
      </c>
      <c r="K43" s="11">
        <v>45359</v>
      </c>
      <c r="L43" s="11">
        <v>45358</v>
      </c>
      <c r="M43" s="16" t="s">
        <v>274</v>
      </c>
      <c r="N43" s="16" t="s">
        <v>257</v>
      </c>
      <c r="O43" s="16" t="s">
        <v>55</v>
      </c>
      <c r="P43" s="165"/>
    </row>
    <row r="44" spans="1:22" ht="242.25" customHeight="1">
      <c r="A44" s="10"/>
      <c r="B44" s="10">
        <v>6</v>
      </c>
      <c r="C44" s="57">
        <v>45359</v>
      </c>
      <c r="D44" s="96" t="s">
        <v>133</v>
      </c>
      <c r="E44" s="93">
        <v>1272</v>
      </c>
      <c r="F44" s="10">
        <v>32</v>
      </c>
      <c r="G44" s="93" t="s">
        <v>253</v>
      </c>
      <c r="H44" s="81" t="s">
        <v>682</v>
      </c>
      <c r="I44" s="10" t="s">
        <v>41</v>
      </c>
      <c r="J44" s="10" t="s">
        <v>695</v>
      </c>
      <c r="K44" s="11">
        <v>45359</v>
      </c>
      <c r="L44" s="11">
        <v>45358</v>
      </c>
      <c r="M44" s="16" t="s">
        <v>274</v>
      </c>
      <c r="N44" s="16" t="s">
        <v>257</v>
      </c>
      <c r="O44" s="16" t="s">
        <v>55</v>
      </c>
      <c r="P44" s="165"/>
    </row>
    <row r="45" spans="1:22" ht="301.5" customHeight="1">
      <c r="A45" s="10"/>
      <c r="B45" s="10">
        <v>7</v>
      </c>
      <c r="C45" s="11">
        <v>45364</v>
      </c>
      <c r="D45" s="93" t="s">
        <v>53</v>
      </c>
      <c r="E45" s="93" t="s">
        <v>230</v>
      </c>
      <c r="F45" s="10"/>
      <c r="G45" s="93" t="s">
        <v>231</v>
      </c>
      <c r="H45" s="81" t="s">
        <v>696</v>
      </c>
      <c r="I45" s="10" t="s">
        <v>658</v>
      </c>
      <c r="J45" s="10" t="s">
        <v>697</v>
      </c>
      <c r="K45" s="11">
        <v>45345</v>
      </c>
      <c r="L45" s="11">
        <v>45341</v>
      </c>
      <c r="M45" s="16" t="s">
        <v>698</v>
      </c>
      <c r="N45" s="16" t="s">
        <v>658</v>
      </c>
      <c r="O45" s="16" t="s">
        <v>55</v>
      </c>
      <c r="P45" s="166"/>
    </row>
    <row r="46" spans="1:22" ht="225" customHeight="1">
      <c r="A46" s="10"/>
      <c r="B46" s="10">
        <v>8</v>
      </c>
      <c r="C46" s="11">
        <v>45369</v>
      </c>
      <c r="D46" s="93" t="s">
        <v>232</v>
      </c>
      <c r="E46" s="93" t="s">
        <v>233</v>
      </c>
      <c r="F46" s="10" t="s">
        <v>234</v>
      </c>
      <c r="G46" s="93" t="s">
        <v>235</v>
      </c>
      <c r="H46" s="81" t="s">
        <v>699</v>
      </c>
      <c r="I46" s="10" t="s">
        <v>684</v>
      </c>
      <c r="J46" s="10" t="s">
        <v>700</v>
      </c>
      <c r="K46" s="68">
        <v>45186</v>
      </c>
      <c r="L46" s="68">
        <v>45181</v>
      </c>
      <c r="M46" s="16" t="s">
        <v>70</v>
      </c>
      <c r="N46" s="16" t="s">
        <v>658</v>
      </c>
      <c r="O46" s="16" t="s">
        <v>55</v>
      </c>
      <c r="P46" s="7"/>
    </row>
    <row r="47" spans="1:22" ht="96">
      <c r="A47" s="10"/>
      <c r="B47" s="10">
        <v>9</v>
      </c>
      <c r="C47" s="11">
        <v>45373</v>
      </c>
      <c r="D47" s="93" t="s">
        <v>53</v>
      </c>
      <c r="E47" s="93" t="s">
        <v>236</v>
      </c>
      <c r="F47" s="10">
        <v>59</v>
      </c>
      <c r="G47" s="93" t="s">
        <v>237</v>
      </c>
      <c r="H47" s="81" t="s">
        <v>584</v>
      </c>
      <c r="I47" s="10" t="s">
        <v>41</v>
      </c>
      <c r="J47" s="10" t="s">
        <v>701</v>
      </c>
      <c r="K47" s="11">
        <v>45318</v>
      </c>
      <c r="L47" s="11">
        <v>45314</v>
      </c>
      <c r="M47" s="16" t="s">
        <v>22</v>
      </c>
      <c r="N47" s="16" t="s">
        <v>688</v>
      </c>
      <c r="O47" s="16" t="s">
        <v>55</v>
      </c>
      <c r="P47" s="7"/>
    </row>
    <row r="48" spans="1:22" ht="84" customHeight="1">
      <c r="A48" s="10"/>
      <c r="B48" s="10">
        <v>10</v>
      </c>
      <c r="C48" s="11">
        <v>45373</v>
      </c>
      <c r="D48" s="93" t="s">
        <v>232</v>
      </c>
      <c r="E48" s="93" t="s">
        <v>238</v>
      </c>
      <c r="F48" s="10">
        <v>1000</v>
      </c>
      <c r="G48" s="93" t="s">
        <v>239</v>
      </c>
      <c r="H48" s="81" t="s">
        <v>702</v>
      </c>
      <c r="I48" s="10" t="s">
        <v>703</v>
      </c>
      <c r="J48" s="10" t="s">
        <v>704</v>
      </c>
      <c r="K48" s="10" t="s">
        <v>275</v>
      </c>
      <c r="L48" s="10" t="s">
        <v>276</v>
      </c>
      <c r="M48" s="16" t="s">
        <v>70</v>
      </c>
      <c r="N48" s="16" t="s">
        <v>305</v>
      </c>
      <c r="O48" s="16" t="s">
        <v>55</v>
      </c>
      <c r="P48" s="7"/>
    </row>
    <row r="49" spans="1:28" ht="48">
      <c r="A49" s="10"/>
      <c r="B49" s="10">
        <v>11</v>
      </c>
      <c r="C49" s="11">
        <v>45373</v>
      </c>
      <c r="D49" s="93" t="s">
        <v>226</v>
      </c>
      <c r="E49" s="93" t="s">
        <v>240</v>
      </c>
      <c r="F49" s="10">
        <v>1</v>
      </c>
      <c r="G49" s="93" t="s">
        <v>241</v>
      </c>
      <c r="H49" s="81" t="s">
        <v>524</v>
      </c>
      <c r="I49" s="10" t="s">
        <v>658</v>
      </c>
      <c r="J49" s="10" t="s">
        <v>705</v>
      </c>
      <c r="K49" s="11">
        <v>45351</v>
      </c>
      <c r="L49" s="11">
        <v>45348</v>
      </c>
      <c r="M49" s="16" t="s">
        <v>70</v>
      </c>
      <c r="N49" s="16" t="s">
        <v>658</v>
      </c>
      <c r="O49" s="16" t="s">
        <v>55</v>
      </c>
      <c r="P49" s="7"/>
    </row>
    <row r="50" spans="1:28" ht="144">
      <c r="A50" s="10"/>
      <c r="B50" s="10">
        <v>12</v>
      </c>
      <c r="C50" s="11">
        <v>45377</v>
      </c>
      <c r="D50" s="93" t="s">
        <v>73</v>
      </c>
      <c r="E50" s="93" t="s">
        <v>59</v>
      </c>
      <c r="F50" s="10" t="s">
        <v>242</v>
      </c>
      <c r="G50" s="93" t="s">
        <v>243</v>
      </c>
      <c r="H50" s="81" t="s">
        <v>706</v>
      </c>
      <c r="I50" s="10" t="s">
        <v>41</v>
      </c>
      <c r="J50" s="10" t="s">
        <v>707</v>
      </c>
      <c r="K50" s="10" t="s">
        <v>708</v>
      </c>
      <c r="L50" s="10" t="s">
        <v>708</v>
      </c>
      <c r="M50" s="16" t="s">
        <v>33</v>
      </c>
      <c r="N50" s="16" t="s">
        <v>688</v>
      </c>
      <c r="O50" s="16" t="s">
        <v>55</v>
      </c>
      <c r="P50" s="7"/>
      <c r="S50" s="9" t="s">
        <v>246</v>
      </c>
    </row>
    <row r="51" spans="1:28" ht="84" customHeight="1">
      <c r="A51" s="10"/>
      <c r="B51" s="10">
        <v>13</v>
      </c>
      <c r="C51" s="11">
        <v>45380</v>
      </c>
      <c r="D51" s="93" t="s">
        <v>244</v>
      </c>
      <c r="E51" s="93">
        <v>51</v>
      </c>
      <c r="F51" s="10">
        <v>3</v>
      </c>
      <c r="G51" s="93" t="s">
        <v>245</v>
      </c>
      <c r="H51" s="81" t="s">
        <v>709</v>
      </c>
      <c r="I51" s="10" t="s">
        <v>658</v>
      </c>
      <c r="J51" s="10" t="s">
        <v>710</v>
      </c>
      <c r="K51" s="11">
        <v>45378</v>
      </c>
      <c r="L51" s="10" t="s">
        <v>277</v>
      </c>
      <c r="M51" s="16" t="s">
        <v>33</v>
      </c>
      <c r="N51" s="16" t="s">
        <v>658</v>
      </c>
      <c r="O51" s="16" t="s">
        <v>55</v>
      </c>
      <c r="P51" s="7"/>
    </row>
    <row r="52" spans="1:28" ht="61.5" customHeight="1">
      <c r="A52" s="137" t="s">
        <v>20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9"/>
      <c r="M52" s="172">
        <v>13</v>
      </c>
      <c r="N52" s="172"/>
      <c r="O52" s="172"/>
      <c r="P52" s="7"/>
    </row>
    <row r="53" spans="1:28" ht="144">
      <c r="A53" s="10"/>
      <c r="B53" s="10">
        <v>1</v>
      </c>
      <c r="C53" s="11">
        <v>45398</v>
      </c>
      <c r="D53" s="93" t="s">
        <v>261</v>
      </c>
      <c r="E53" s="93" t="s">
        <v>262</v>
      </c>
      <c r="F53" s="10">
        <v>200</v>
      </c>
      <c r="G53" s="93" t="s">
        <v>311</v>
      </c>
      <c r="H53" s="81" t="s">
        <v>711</v>
      </c>
      <c r="I53" s="10" t="s">
        <v>658</v>
      </c>
      <c r="J53" s="10" t="s">
        <v>712</v>
      </c>
      <c r="K53" s="11">
        <v>45386</v>
      </c>
      <c r="L53" s="11">
        <v>45385</v>
      </c>
      <c r="M53" s="16" t="s">
        <v>287</v>
      </c>
      <c r="N53" s="16" t="s">
        <v>658</v>
      </c>
      <c r="O53" s="16" t="s">
        <v>55</v>
      </c>
      <c r="P53" s="7"/>
    </row>
    <row r="54" spans="1:28" ht="139.5" customHeight="1">
      <c r="A54" s="10"/>
      <c r="B54" s="10">
        <v>2</v>
      </c>
      <c r="C54" s="11">
        <v>45406</v>
      </c>
      <c r="D54" s="93" t="s">
        <v>89</v>
      </c>
      <c r="E54" s="93" t="s">
        <v>280</v>
      </c>
      <c r="F54" s="13" t="s">
        <v>11</v>
      </c>
      <c r="G54" s="93" t="s">
        <v>281</v>
      </c>
      <c r="H54" s="81" t="s">
        <v>282</v>
      </c>
      <c r="I54" s="10" t="s">
        <v>283</v>
      </c>
      <c r="J54" s="10" t="s">
        <v>283</v>
      </c>
      <c r="K54" s="11">
        <v>45406</v>
      </c>
      <c r="L54" s="11">
        <v>45404</v>
      </c>
      <c r="M54" s="31" t="s">
        <v>11</v>
      </c>
      <c r="N54" s="16" t="s">
        <v>658</v>
      </c>
      <c r="O54" s="16" t="s">
        <v>55</v>
      </c>
      <c r="P54" s="7"/>
    </row>
    <row r="55" spans="1:28" ht="56.25" customHeight="1">
      <c r="A55" s="137" t="s">
        <v>20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9"/>
      <c r="M55" s="173">
        <v>2</v>
      </c>
      <c r="N55" s="173"/>
      <c r="O55" s="173"/>
      <c r="P55" s="7"/>
    </row>
    <row r="56" spans="1:28" ht="318.75" customHeight="1">
      <c r="A56" s="148"/>
      <c r="B56" s="10">
        <v>1</v>
      </c>
      <c r="C56" s="17" t="s">
        <v>296</v>
      </c>
      <c r="D56" s="98" t="s">
        <v>80</v>
      </c>
      <c r="E56" s="98" t="s">
        <v>297</v>
      </c>
      <c r="F56" s="10">
        <v>260</v>
      </c>
      <c r="G56" s="93" t="s">
        <v>298</v>
      </c>
      <c r="H56" s="82" t="s">
        <v>713</v>
      </c>
      <c r="I56" s="16" t="s">
        <v>37</v>
      </c>
      <c r="J56" s="16" t="s">
        <v>690</v>
      </c>
      <c r="K56" s="17">
        <v>45401</v>
      </c>
      <c r="L56" s="10" t="s">
        <v>363</v>
      </c>
      <c r="M56" s="16" t="s">
        <v>16</v>
      </c>
      <c r="N56" s="16" t="s">
        <v>304</v>
      </c>
      <c r="O56" s="16" t="s">
        <v>55</v>
      </c>
      <c r="P56" s="7"/>
      <c r="R56" s="9" t="s">
        <v>75</v>
      </c>
    </row>
    <row r="57" spans="1:28" ht="318.75" customHeight="1">
      <c r="A57" s="148"/>
      <c r="B57" s="10">
        <v>2</v>
      </c>
      <c r="C57" s="17" t="s">
        <v>296</v>
      </c>
      <c r="D57" s="93" t="s">
        <v>232</v>
      </c>
      <c r="E57" s="93" t="s">
        <v>299</v>
      </c>
      <c r="F57" s="10">
        <f>150*16</f>
        <v>2400</v>
      </c>
      <c r="G57" s="93" t="s">
        <v>300</v>
      </c>
      <c r="H57" s="82" t="s">
        <v>301</v>
      </c>
      <c r="I57" s="16" t="s">
        <v>714</v>
      </c>
      <c r="J57" s="16" t="s">
        <v>715</v>
      </c>
      <c r="K57" s="17">
        <v>45412</v>
      </c>
      <c r="L57" s="10" t="s">
        <v>303</v>
      </c>
      <c r="M57" s="16" t="s">
        <v>302</v>
      </c>
      <c r="N57" s="16" t="s">
        <v>426</v>
      </c>
      <c r="O57" s="16" t="s">
        <v>55</v>
      </c>
      <c r="P57" s="7"/>
    </row>
    <row r="58" spans="1:28" ht="318.75" customHeight="1">
      <c r="A58" s="148"/>
      <c r="B58" s="10">
        <v>3</v>
      </c>
      <c r="C58" s="169" t="s">
        <v>291</v>
      </c>
      <c r="D58" s="98" t="s">
        <v>290</v>
      </c>
      <c r="E58" s="98" t="s">
        <v>288</v>
      </c>
      <c r="F58" s="10">
        <v>150</v>
      </c>
      <c r="G58" s="93" t="s">
        <v>289</v>
      </c>
      <c r="H58" s="82" t="s">
        <v>716</v>
      </c>
      <c r="I58" s="16" t="s">
        <v>658</v>
      </c>
      <c r="J58" s="16" t="s">
        <v>717</v>
      </c>
      <c r="K58" s="17">
        <v>45404</v>
      </c>
      <c r="L58" s="10" t="s">
        <v>294</v>
      </c>
      <c r="M58" s="16" t="s">
        <v>295</v>
      </c>
      <c r="N58" s="16" t="s">
        <v>658</v>
      </c>
      <c r="O58" s="16" t="s">
        <v>55</v>
      </c>
      <c r="P58" s="7"/>
      <c r="Q58" s="18"/>
      <c r="R58" s="9" t="s">
        <v>75</v>
      </c>
    </row>
    <row r="59" spans="1:28" ht="223.5" customHeight="1">
      <c r="A59" s="16"/>
      <c r="B59" s="16">
        <v>4</v>
      </c>
      <c r="C59" s="170"/>
      <c r="D59" s="98" t="s">
        <v>290</v>
      </c>
      <c r="E59" s="98" t="s">
        <v>292</v>
      </c>
      <c r="F59" s="16">
        <v>67</v>
      </c>
      <c r="G59" s="98" t="s">
        <v>293</v>
      </c>
      <c r="H59" s="82" t="s">
        <v>718</v>
      </c>
      <c r="I59" s="16" t="s">
        <v>37</v>
      </c>
      <c r="J59" s="16" t="s">
        <v>719</v>
      </c>
      <c r="K59" s="17" t="s">
        <v>720</v>
      </c>
      <c r="L59" s="16" t="s">
        <v>319</v>
      </c>
      <c r="M59" s="16" t="s">
        <v>333</v>
      </c>
      <c r="N59" s="16" t="s">
        <v>334</v>
      </c>
      <c r="O59" s="16" t="s">
        <v>55</v>
      </c>
      <c r="P59" s="7"/>
      <c r="Q59" s="18" t="s">
        <v>356</v>
      </c>
    </row>
    <row r="60" spans="1:28" ht="146.25" customHeight="1">
      <c r="A60" s="16"/>
      <c r="B60" s="16">
        <v>5</v>
      </c>
      <c r="C60" s="17" t="s">
        <v>317</v>
      </c>
      <c r="D60" s="98" t="s">
        <v>290</v>
      </c>
      <c r="E60" s="98" t="s">
        <v>288</v>
      </c>
      <c r="F60" s="16">
        <v>1</v>
      </c>
      <c r="G60" s="98" t="s">
        <v>324</v>
      </c>
      <c r="H60" s="82" t="s">
        <v>721</v>
      </c>
      <c r="I60" s="16" t="s">
        <v>722</v>
      </c>
      <c r="J60" s="16" t="s">
        <v>723</v>
      </c>
      <c r="K60" s="16" t="s">
        <v>379</v>
      </c>
      <c r="L60" s="16" t="s">
        <v>320</v>
      </c>
      <c r="M60" s="16" t="s">
        <v>318</v>
      </c>
      <c r="N60" s="16" t="s">
        <v>658</v>
      </c>
      <c r="O60" s="16" t="s">
        <v>55</v>
      </c>
      <c r="P60" s="7"/>
      <c r="Q60" s="18"/>
    </row>
    <row r="61" spans="1:28" ht="186.75" customHeight="1">
      <c r="A61" s="16"/>
      <c r="B61" s="16">
        <v>6</v>
      </c>
      <c r="C61" s="17" t="s">
        <v>323</v>
      </c>
      <c r="D61" s="98" t="s">
        <v>290</v>
      </c>
      <c r="E61" s="98" t="s">
        <v>337</v>
      </c>
      <c r="F61" s="16">
        <v>54</v>
      </c>
      <c r="G61" s="98" t="s">
        <v>327</v>
      </c>
      <c r="H61" s="82" t="s">
        <v>724</v>
      </c>
      <c r="I61" s="16" t="s">
        <v>41</v>
      </c>
      <c r="J61" s="16" t="s">
        <v>725</v>
      </c>
      <c r="K61" s="16" t="s">
        <v>296</v>
      </c>
      <c r="L61" s="16" t="s">
        <v>322</v>
      </c>
      <c r="M61" s="16" t="s">
        <v>321</v>
      </c>
      <c r="N61" s="16" t="s">
        <v>334</v>
      </c>
      <c r="O61" s="16" t="s">
        <v>55</v>
      </c>
      <c r="P61" s="7"/>
      <c r="Q61" s="18" t="s">
        <v>356</v>
      </c>
      <c r="AB61" s="9" t="s">
        <v>50</v>
      </c>
    </row>
    <row r="62" spans="1:28" ht="186.75" customHeight="1">
      <c r="A62" s="16"/>
      <c r="B62" s="16">
        <v>7</v>
      </c>
      <c r="C62" s="17" t="s">
        <v>323</v>
      </c>
      <c r="D62" s="98" t="s">
        <v>290</v>
      </c>
      <c r="E62" s="98" t="s">
        <v>338</v>
      </c>
      <c r="F62" s="16" t="s">
        <v>339</v>
      </c>
      <c r="G62" s="98" t="s">
        <v>327</v>
      </c>
      <c r="H62" s="82" t="s">
        <v>724</v>
      </c>
      <c r="I62" s="16" t="s">
        <v>41</v>
      </c>
      <c r="J62" s="16" t="s">
        <v>725</v>
      </c>
      <c r="K62" s="16" t="s">
        <v>296</v>
      </c>
      <c r="L62" s="45" t="s">
        <v>322</v>
      </c>
      <c r="M62" s="16" t="s">
        <v>321</v>
      </c>
      <c r="N62" s="16" t="s">
        <v>334</v>
      </c>
      <c r="O62" s="16" t="s">
        <v>55</v>
      </c>
      <c r="P62" s="7"/>
      <c r="AB62" s="9" t="s">
        <v>50</v>
      </c>
    </row>
    <row r="63" spans="1:28" ht="129.75" customHeight="1">
      <c r="A63" s="16"/>
      <c r="B63" s="16">
        <v>8</v>
      </c>
      <c r="C63" s="17" t="s">
        <v>325</v>
      </c>
      <c r="D63" s="151" t="s">
        <v>326</v>
      </c>
      <c r="E63" s="98" t="s">
        <v>340</v>
      </c>
      <c r="F63" s="16">
        <v>130</v>
      </c>
      <c r="G63" s="98" t="s">
        <v>327</v>
      </c>
      <c r="H63" s="82" t="s">
        <v>584</v>
      </c>
      <c r="I63" s="16" t="s">
        <v>41</v>
      </c>
      <c r="J63" s="16" t="s">
        <v>726</v>
      </c>
      <c r="K63" s="16" t="s">
        <v>325</v>
      </c>
      <c r="L63" s="16" t="s">
        <v>364</v>
      </c>
      <c r="M63" s="16" t="s">
        <v>365</v>
      </c>
      <c r="N63" s="16" t="s">
        <v>335</v>
      </c>
      <c r="O63" s="16" t="s">
        <v>55</v>
      </c>
      <c r="P63" s="7"/>
    </row>
    <row r="64" spans="1:28" ht="129.75" customHeight="1">
      <c r="A64" s="16"/>
      <c r="B64" s="16">
        <v>9</v>
      </c>
      <c r="C64" s="17" t="s">
        <v>325</v>
      </c>
      <c r="D64" s="152"/>
      <c r="E64" s="98" t="s">
        <v>341</v>
      </c>
      <c r="F64" s="16">
        <v>560</v>
      </c>
      <c r="G64" s="98" t="s">
        <v>327</v>
      </c>
      <c r="H64" s="82" t="s">
        <v>584</v>
      </c>
      <c r="I64" s="16" t="s">
        <v>41</v>
      </c>
      <c r="J64" s="16" t="s">
        <v>726</v>
      </c>
      <c r="K64" s="16" t="s">
        <v>325</v>
      </c>
      <c r="L64" s="17">
        <v>45343</v>
      </c>
      <c r="M64" s="16" t="s">
        <v>366</v>
      </c>
      <c r="N64" s="16" t="s">
        <v>335</v>
      </c>
      <c r="O64" s="16" t="s">
        <v>55</v>
      </c>
      <c r="P64" s="7"/>
    </row>
    <row r="65" spans="1:17" ht="167.25" customHeight="1">
      <c r="A65" s="16"/>
      <c r="B65" s="16">
        <v>10</v>
      </c>
      <c r="C65" s="17" t="s">
        <v>32</v>
      </c>
      <c r="D65" s="98" t="s">
        <v>290</v>
      </c>
      <c r="E65" s="98" t="s">
        <v>351</v>
      </c>
      <c r="F65" s="16">
        <f>118+159</f>
        <v>277</v>
      </c>
      <c r="G65" s="98" t="s">
        <v>347</v>
      </c>
      <c r="H65" s="82" t="s">
        <v>724</v>
      </c>
      <c r="I65" s="67" t="s">
        <v>41</v>
      </c>
      <c r="J65" s="16" t="s">
        <v>725</v>
      </c>
      <c r="K65" s="16" t="s">
        <v>377</v>
      </c>
      <c r="L65" s="16" t="s">
        <v>367</v>
      </c>
      <c r="M65" s="16" t="s">
        <v>368</v>
      </c>
      <c r="N65" s="16" t="s">
        <v>348</v>
      </c>
      <c r="O65" s="16" t="s">
        <v>55</v>
      </c>
      <c r="P65" s="7"/>
    </row>
    <row r="66" spans="1:17" ht="96" customHeight="1">
      <c r="A66" s="16"/>
      <c r="B66" s="16">
        <v>11</v>
      </c>
      <c r="C66" s="169" t="s">
        <v>336</v>
      </c>
      <c r="D66" s="151" t="s">
        <v>178</v>
      </c>
      <c r="E66" s="98" t="s">
        <v>342</v>
      </c>
      <c r="F66" s="16">
        <v>14</v>
      </c>
      <c r="G66" s="98" t="s">
        <v>327</v>
      </c>
      <c r="H66" s="134" t="s">
        <v>1011</v>
      </c>
      <c r="I66" s="113" t="s">
        <v>6</v>
      </c>
      <c r="J66" s="113" t="s">
        <v>1010</v>
      </c>
      <c r="K66" s="67">
        <v>45236</v>
      </c>
      <c r="L66" s="67">
        <v>45233</v>
      </c>
      <c r="M66" s="16" t="s">
        <v>302</v>
      </c>
      <c r="N66" s="16" t="s">
        <v>345</v>
      </c>
      <c r="O66" s="16" t="s">
        <v>55</v>
      </c>
      <c r="P66" s="7"/>
    </row>
    <row r="67" spans="1:17" ht="156" customHeight="1">
      <c r="A67" s="16"/>
      <c r="B67" s="16">
        <v>12</v>
      </c>
      <c r="C67" s="171"/>
      <c r="D67" s="162"/>
      <c r="E67" s="98" t="s">
        <v>343</v>
      </c>
      <c r="F67" s="16">
        <v>64</v>
      </c>
      <c r="G67" s="98" t="s">
        <v>327</v>
      </c>
      <c r="H67" s="135"/>
      <c r="I67" s="116"/>
      <c r="J67" s="116"/>
      <c r="K67" s="17">
        <v>45310</v>
      </c>
      <c r="L67" s="17">
        <v>45309</v>
      </c>
      <c r="M67" s="16" t="s">
        <v>371</v>
      </c>
      <c r="N67" s="16" t="s">
        <v>345</v>
      </c>
      <c r="O67" s="16" t="s">
        <v>55</v>
      </c>
      <c r="P67" s="6" t="s">
        <v>24</v>
      </c>
    </row>
    <row r="68" spans="1:17" ht="87" customHeight="1">
      <c r="A68" s="16"/>
      <c r="B68" s="16">
        <v>13</v>
      </c>
      <c r="C68" s="170"/>
      <c r="D68" s="152"/>
      <c r="E68" s="98" t="s">
        <v>344</v>
      </c>
      <c r="F68" s="16" t="s">
        <v>50</v>
      </c>
      <c r="G68" s="98" t="s">
        <v>327</v>
      </c>
      <c r="H68" s="136"/>
      <c r="I68" s="114"/>
      <c r="J68" s="114"/>
      <c r="K68" s="16" t="s">
        <v>727</v>
      </c>
      <c r="L68" s="16" t="s">
        <v>369</v>
      </c>
      <c r="M68" s="16" t="s">
        <v>370</v>
      </c>
      <c r="N68" s="16" t="s">
        <v>346</v>
      </c>
      <c r="O68" s="16" t="s">
        <v>55</v>
      </c>
      <c r="P68" s="7"/>
    </row>
    <row r="69" spans="1:17" ht="87" customHeight="1">
      <c r="A69" s="16"/>
      <c r="B69" s="16">
        <v>14</v>
      </c>
      <c r="C69" s="14" t="s">
        <v>349</v>
      </c>
      <c r="D69" s="95" t="s">
        <v>290</v>
      </c>
      <c r="E69" s="98" t="s">
        <v>350</v>
      </c>
      <c r="F69" s="16">
        <v>150</v>
      </c>
      <c r="G69" s="98" t="s">
        <v>327</v>
      </c>
      <c r="H69" s="82" t="s">
        <v>724</v>
      </c>
      <c r="I69" s="67" t="s">
        <v>658</v>
      </c>
      <c r="J69" s="16" t="s">
        <v>725</v>
      </c>
      <c r="K69" s="16" t="s">
        <v>378</v>
      </c>
      <c r="L69" s="17">
        <v>45411</v>
      </c>
      <c r="M69" s="16" t="s">
        <v>372</v>
      </c>
      <c r="N69" s="16" t="s">
        <v>658</v>
      </c>
      <c r="O69" s="16" t="s">
        <v>55</v>
      </c>
      <c r="P69" s="7"/>
    </row>
    <row r="70" spans="1:17" ht="87" customHeight="1">
      <c r="A70" s="16"/>
      <c r="B70" s="16">
        <v>15</v>
      </c>
      <c r="C70" s="169" t="s">
        <v>36</v>
      </c>
      <c r="D70" s="151" t="s">
        <v>80</v>
      </c>
      <c r="E70" s="98" t="s">
        <v>105</v>
      </c>
      <c r="F70" s="16">
        <v>115</v>
      </c>
      <c r="G70" s="98" t="s">
        <v>355</v>
      </c>
      <c r="H70" s="82" t="s">
        <v>728</v>
      </c>
      <c r="I70" s="16" t="s">
        <v>41</v>
      </c>
      <c r="J70" s="16" t="s">
        <v>662</v>
      </c>
      <c r="K70" s="17" t="s">
        <v>669</v>
      </c>
      <c r="L70" s="17" t="s">
        <v>669</v>
      </c>
      <c r="M70" s="16" t="s">
        <v>302</v>
      </c>
      <c r="N70" s="28" t="s">
        <v>352</v>
      </c>
      <c r="O70" s="16" t="s">
        <v>55</v>
      </c>
      <c r="P70" s="7"/>
    </row>
    <row r="71" spans="1:17" ht="87" customHeight="1">
      <c r="A71" s="16"/>
      <c r="B71" s="30">
        <v>16</v>
      </c>
      <c r="C71" s="170"/>
      <c r="D71" s="152"/>
      <c r="E71" s="98" t="s">
        <v>297</v>
      </c>
      <c r="F71" s="16">
        <v>53</v>
      </c>
      <c r="G71" s="98" t="s">
        <v>355</v>
      </c>
      <c r="H71" s="82" t="s">
        <v>729</v>
      </c>
      <c r="I71" s="16" t="s">
        <v>41</v>
      </c>
      <c r="J71" s="16" t="s">
        <v>662</v>
      </c>
      <c r="K71" s="17" t="s">
        <v>669</v>
      </c>
      <c r="L71" s="17" t="s">
        <v>669</v>
      </c>
      <c r="M71" s="16" t="s">
        <v>302</v>
      </c>
      <c r="N71" s="30" t="s">
        <v>352</v>
      </c>
      <c r="O71" s="16" t="s">
        <v>55</v>
      </c>
      <c r="P71" s="7"/>
    </row>
    <row r="72" spans="1:17" ht="87" customHeight="1">
      <c r="A72" s="16"/>
      <c r="B72" s="30">
        <v>17</v>
      </c>
      <c r="C72" s="14" t="s">
        <v>353</v>
      </c>
      <c r="D72" s="95" t="s">
        <v>354</v>
      </c>
      <c r="E72" s="98" t="s">
        <v>404</v>
      </c>
      <c r="F72" s="16">
        <v>332</v>
      </c>
      <c r="G72" s="98" t="s">
        <v>389</v>
      </c>
      <c r="H72" s="82" t="s">
        <v>696</v>
      </c>
      <c r="I72" s="16" t="s">
        <v>41</v>
      </c>
      <c r="J72" s="16" t="s">
        <v>730</v>
      </c>
      <c r="K72" s="16" t="s">
        <v>369</v>
      </c>
      <c r="L72" s="16" t="s">
        <v>291</v>
      </c>
      <c r="M72" s="16" t="s">
        <v>373</v>
      </c>
      <c r="N72" s="16" t="s">
        <v>380</v>
      </c>
      <c r="O72" s="16" t="s">
        <v>55</v>
      </c>
      <c r="P72" s="7"/>
      <c r="Q72" s="56" t="s">
        <v>357</v>
      </c>
    </row>
    <row r="73" spans="1:17" ht="87" customHeight="1">
      <c r="A73" s="16"/>
      <c r="B73" s="30">
        <v>18</v>
      </c>
      <c r="C73" s="14" t="s">
        <v>358</v>
      </c>
      <c r="D73" s="95" t="s">
        <v>290</v>
      </c>
      <c r="E73" s="98" t="s">
        <v>359</v>
      </c>
      <c r="F73" s="16">
        <v>41</v>
      </c>
      <c r="G73" s="98" t="s">
        <v>327</v>
      </c>
      <c r="H73" s="82" t="s">
        <v>724</v>
      </c>
      <c r="I73" s="16" t="s">
        <v>41</v>
      </c>
      <c r="J73" s="16" t="s">
        <v>725</v>
      </c>
      <c r="K73" s="16" t="s">
        <v>377</v>
      </c>
      <c r="L73" s="17">
        <v>45407</v>
      </c>
      <c r="M73" s="16" t="s">
        <v>374</v>
      </c>
      <c r="N73" s="16" t="s">
        <v>360</v>
      </c>
      <c r="O73" s="16" t="s">
        <v>55</v>
      </c>
      <c r="P73" s="7"/>
    </row>
    <row r="74" spans="1:17" ht="87" customHeight="1">
      <c r="A74" s="16"/>
      <c r="B74" s="30">
        <v>19</v>
      </c>
      <c r="C74" s="14" t="s">
        <v>358</v>
      </c>
      <c r="D74" s="95" t="s">
        <v>290</v>
      </c>
      <c r="E74" s="98" t="s">
        <v>361</v>
      </c>
      <c r="F74" s="16">
        <v>300</v>
      </c>
      <c r="G74" s="98" t="s">
        <v>327</v>
      </c>
      <c r="H74" s="82" t="s">
        <v>724</v>
      </c>
      <c r="I74" s="16" t="s">
        <v>41</v>
      </c>
      <c r="J74" s="16" t="s">
        <v>725</v>
      </c>
      <c r="K74" s="16" t="s">
        <v>376</v>
      </c>
      <c r="L74" s="46">
        <v>45409</v>
      </c>
      <c r="M74" s="16" t="s">
        <v>375</v>
      </c>
      <c r="N74" s="16" t="s">
        <v>362</v>
      </c>
      <c r="O74" s="16" t="s">
        <v>55</v>
      </c>
      <c r="P74" s="7"/>
    </row>
    <row r="75" spans="1:17" ht="87" customHeight="1">
      <c r="A75" s="16"/>
      <c r="B75" s="30">
        <v>20</v>
      </c>
      <c r="C75" s="14" t="s">
        <v>381</v>
      </c>
      <c r="D75" s="95" t="s">
        <v>178</v>
      </c>
      <c r="E75" s="98" t="s">
        <v>382</v>
      </c>
      <c r="F75" s="16">
        <v>84</v>
      </c>
      <c r="G75" s="98" t="s">
        <v>60</v>
      </c>
      <c r="H75" s="82" t="s">
        <v>666</v>
      </c>
      <c r="I75" s="16" t="s">
        <v>41</v>
      </c>
      <c r="J75" s="16" t="s">
        <v>731</v>
      </c>
      <c r="K75" s="16" t="s">
        <v>708</v>
      </c>
      <c r="L75" s="16" t="s">
        <v>708</v>
      </c>
      <c r="M75" s="16" t="s">
        <v>302</v>
      </c>
      <c r="N75" s="16" t="s">
        <v>405</v>
      </c>
      <c r="O75" s="16" t="s">
        <v>55</v>
      </c>
      <c r="P75" s="7"/>
    </row>
    <row r="76" spans="1:17" ht="68.25" customHeight="1">
      <c r="A76" s="137" t="s">
        <v>20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9"/>
      <c r="M76" s="167">
        <v>20</v>
      </c>
      <c r="N76" s="167"/>
      <c r="O76" s="167"/>
      <c r="P76" s="7"/>
    </row>
    <row r="77" spans="1:17" ht="408" customHeight="1">
      <c r="A77" s="16"/>
      <c r="B77" s="10">
        <v>1</v>
      </c>
      <c r="C77" s="11" t="s">
        <v>391</v>
      </c>
      <c r="D77" s="98" t="s">
        <v>392</v>
      </c>
      <c r="E77" s="98" t="s">
        <v>393</v>
      </c>
      <c r="F77" s="16"/>
      <c r="G77" s="98" t="s">
        <v>394</v>
      </c>
      <c r="H77" s="82" t="s">
        <v>395</v>
      </c>
      <c r="I77" s="16" t="s">
        <v>396</v>
      </c>
      <c r="J77" s="16" t="s">
        <v>397</v>
      </c>
      <c r="K77" s="16" t="s">
        <v>381</v>
      </c>
      <c r="L77" s="16" t="s">
        <v>732</v>
      </c>
      <c r="M77" s="16" t="s">
        <v>70</v>
      </c>
      <c r="N77" s="16" t="s">
        <v>658</v>
      </c>
      <c r="O77" s="16" t="s">
        <v>55</v>
      </c>
      <c r="P77" s="7"/>
    </row>
    <row r="78" spans="1:17" ht="48">
      <c r="A78" s="16"/>
      <c r="B78" s="153">
        <v>2</v>
      </c>
      <c r="C78" s="169" t="s">
        <v>398</v>
      </c>
      <c r="D78" s="151" t="s">
        <v>399</v>
      </c>
      <c r="E78" s="98" t="s">
        <v>400</v>
      </c>
      <c r="F78" s="16">
        <v>48</v>
      </c>
      <c r="G78" s="151" t="s">
        <v>327</v>
      </c>
      <c r="H78" s="134" t="s">
        <v>724</v>
      </c>
      <c r="I78" s="113" t="s">
        <v>41</v>
      </c>
      <c r="J78" s="113" t="s">
        <v>733</v>
      </c>
      <c r="K78" s="153" t="s">
        <v>734</v>
      </c>
      <c r="L78" s="154"/>
      <c r="M78" s="155"/>
      <c r="N78" s="113" t="s">
        <v>659</v>
      </c>
      <c r="O78" s="113" t="s">
        <v>55</v>
      </c>
      <c r="P78" s="7"/>
    </row>
    <row r="79" spans="1:17" ht="48">
      <c r="A79" s="179"/>
      <c r="B79" s="156"/>
      <c r="C79" s="171"/>
      <c r="D79" s="162"/>
      <c r="E79" s="98" t="s">
        <v>401</v>
      </c>
      <c r="F79" s="16">
        <v>150</v>
      </c>
      <c r="G79" s="162"/>
      <c r="H79" s="135"/>
      <c r="I79" s="116"/>
      <c r="J79" s="116"/>
      <c r="K79" s="156"/>
      <c r="L79" s="157"/>
      <c r="M79" s="158"/>
      <c r="N79" s="116"/>
      <c r="O79" s="116"/>
      <c r="P79" s="164" t="s">
        <v>25</v>
      </c>
    </row>
    <row r="80" spans="1:17" ht="106.5" customHeight="1">
      <c r="A80" s="179"/>
      <c r="B80" s="156"/>
      <c r="C80" s="171"/>
      <c r="D80" s="162"/>
      <c r="E80" s="98" t="s">
        <v>402</v>
      </c>
      <c r="F80" s="16">
        <v>96</v>
      </c>
      <c r="G80" s="162"/>
      <c r="H80" s="135"/>
      <c r="I80" s="116"/>
      <c r="J80" s="116"/>
      <c r="K80" s="156"/>
      <c r="L80" s="157"/>
      <c r="M80" s="158"/>
      <c r="N80" s="116"/>
      <c r="O80" s="116"/>
      <c r="P80" s="165"/>
    </row>
    <row r="81" spans="1:16" ht="81.75" customHeight="1">
      <c r="A81" s="179"/>
      <c r="B81" s="156"/>
      <c r="C81" s="170"/>
      <c r="D81" s="162"/>
      <c r="E81" s="98" t="s">
        <v>403</v>
      </c>
      <c r="F81" s="16">
        <v>65</v>
      </c>
      <c r="G81" s="162"/>
      <c r="H81" s="135"/>
      <c r="I81" s="116"/>
      <c r="J81" s="116"/>
      <c r="K81" s="156"/>
      <c r="L81" s="157"/>
      <c r="M81" s="158"/>
      <c r="N81" s="116"/>
      <c r="O81" s="116"/>
      <c r="P81" s="166"/>
    </row>
    <row r="82" spans="1:16" ht="48">
      <c r="A82" s="16"/>
      <c r="B82" s="156"/>
      <c r="C82" s="169" t="s">
        <v>406</v>
      </c>
      <c r="D82" s="162"/>
      <c r="E82" s="98" t="s">
        <v>407</v>
      </c>
      <c r="F82" s="16">
        <v>100</v>
      </c>
      <c r="G82" s="162"/>
      <c r="H82" s="135"/>
      <c r="I82" s="116"/>
      <c r="J82" s="116"/>
      <c r="K82" s="156"/>
      <c r="L82" s="157"/>
      <c r="M82" s="158"/>
      <c r="N82" s="116"/>
      <c r="O82" s="116"/>
      <c r="P82" s="7"/>
    </row>
    <row r="83" spans="1:16" ht="48">
      <c r="A83" s="16"/>
      <c r="B83" s="156"/>
      <c r="C83" s="171"/>
      <c r="D83" s="162"/>
      <c r="E83" s="99" t="s">
        <v>401</v>
      </c>
      <c r="F83" s="31">
        <v>59</v>
      </c>
      <c r="G83" s="162"/>
      <c r="H83" s="135"/>
      <c r="I83" s="116"/>
      <c r="J83" s="116"/>
      <c r="K83" s="156"/>
      <c r="L83" s="157"/>
      <c r="M83" s="158"/>
      <c r="N83" s="116"/>
      <c r="O83" s="116"/>
      <c r="P83" s="7"/>
    </row>
    <row r="84" spans="1:16" ht="48">
      <c r="A84" s="143"/>
      <c r="B84" s="156"/>
      <c r="C84" s="170"/>
      <c r="D84" s="162"/>
      <c r="E84" s="98" t="s">
        <v>408</v>
      </c>
      <c r="F84" s="16">
        <v>100</v>
      </c>
      <c r="G84" s="162"/>
      <c r="H84" s="135"/>
      <c r="I84" s="116"/>
      <c r="J84" s="116"/>
      <c r="K84" s="156"/>
      <c r="L84" s="157"/>
      <c r="M84" s="158"/>
      <c r="N84" s="116"/>
      <c r="O84" s="116"/>
      <c r="P84" s="7"/>
    </row>
    <row r="85" spans="1:16" ht="48">
      <c r="A85" s="180"/>
      <c r="B85" s="156"/>
      <c r="C85" s="113" t="s">
        <v>409</v>
      </c>
      <c r="D85" s="162"/>
      <c r="E85" s="98" t="s">
        <v>410</v>
      </c>
      <c r="F85" s="16">
        <v>104</v>
      </c>
      <c r="G85" s="162"/>
      <c r="H85" s="135"/>
      <c r="I85" s="116"/>
      <c r="J85" s="116"/>
      <c r="K85" s="156"/>
      <c r="L85" s="157"/>
      <c r="M85" s="158"/>
      <c r="N85" s="116"/>
      <c r="O85" s="116"/>
      <c r="P85" s="7"/>
    </row>
    <row r="86" spans="1:16" ht="48">
      <c r="A86" s="180"/>
      <c r="B86" s="156"/>
      <c r="C86" s="116"/>
      <c r="D86" s="162"/>
      <c r="E86" s="98" t="s">
        <v>411</v>
      </c>
      <c r="F86" s="16">
        <v>150</v>
      </c>
      <c r="G86" s="162"/>
      <c r="H86" s="135"/>
      <c r="I86" s="116"/>
      <c r="J86" s="116"/>
      <c r="K86" s="156"/>
      <c r="L86" s="157"/>
      <c r="M86" s="158"/>
      <c r="N86" s="116"/>
      <c r="O86" s="116"/>
      <c r="P86" s="7"/>
    </row>
    <row r="87" spans="1:16" ht="48">
      <c r="A87" s="144"/>
      <c r="B87" s="156"/>
      <c r="C87" s="116"/>
      <c r="D87" s="162"/>
      <c r="E87" s="98" t="s">
        <v>401</v>
      </c>
      <c r="F87" s="16">
        <v>144</v>
      </c>
      <c r="G87" s="162"/>
      <c r="H87" s="135"/>
      <c r="I87" s="116"/>
      <c r="J87" s="116"/>
      <c r="K87" s="156"/>
      <c r="L87" s="157"/>
      <c r="M87" s="158"/>
      <c r="N87" s="116"/>
      <c r="O87" s="116"/>
      <c r="P87" s="7"/>
    </row>
    <row r="88" spans="1:16" ht="162.75" customHeight="1">
      <c r="A88" s="16"/>
      <c r="B88" s="156"/>
      <c r="C88" s="114"/>
      <c r="D88" s="162"/>
      <c r="E88" s="98" t="s">
        <v>412</v>
      </c>
      <c r="F88" s="16">
        <v>68</v>
      </c>
      <c r="G88" s="162"/>
      <c r="H88" s="135"/>
      <c r="I88" s="116"/>
      <c r="J88" s="116"/>
      <c r="K88" s="156"/>
      <c r="L88" s="157"/>
      <c r="M88" s="158"/>
      <c r="N88" s="116"/>
      <c r="O88" s="116"/>
      <c r="P88" s="7"/>
    </row>
    <row r="89" spans="1:16" ht="80.25" customHeight="1">
      <c r="A89" s="16"/>
      <c r="B89" s="156"/>
      <c r="C89" s="148" t="s">
        <v>413</v>
      </c>
      <c r="D89" s="162"/>
      <c r="E89" s="98" t="s">
        <v>401</v>
      </c>
      <c r="F89" s="31">
        <v>156</v>
      </c>
      <c r="G89" s="162"/>
      <c r="H89" s="135"/>
      <c r="I89" s="116"/>
      <c r="J89" s="116"/>
      <c r="K89" s="156"/>
      <c r="L89" s="157"/>
      <c r="M89" s="158"/>
      <c r="N89" s="116"/>
      <c r="O89" s="116"/>
      <c r="P89" s="7"/>
    </row>
    <row r="90" spans="1:16" ht="60" customHeight="1">
      <c r="A90" s="16"/>
      <c r="B90" s="156"/>
      <c r="C90" s="148"/>
      <c r="D90" s="162"/>
      <c r="E90" s="98" t="s">
        <v>414</v>
      </c>
      <c r="F90" s="16">
        <v>100</v>
      </c>
      <c r="G90" s="162"/>
      <c r="H90" s="135"/>
      <c r="I90" s="116"/>
      <c r="J90" s="116"/>
      <c r="K90" s="156"/>
      <c r="L90" s="157"/>
      <c r="M90" s="158"/>
      <c r="N90" s="116"/>
      <c r="O90" s="116"/>
      <c r="P90" s="7"/>
    </row>
    <row r="91" spans="1:16" ht="48">
      <c r="A91" s="16"/>
      <c r="B91" s="156"/>
      <c r="C91" s="148"/>
      <c r="D91" s="162"/>
      <c r="E91" s="100" t="s">
        <v>415</v>
      </c>
      <c r="F91" s="29">
        <v>72</v>
      </c>
      <c r="G91" s="162"/>
      <c r="H91" s="135"/>
      <c r="I91" s="116"/>
      <c r="J91" s="116"/>
      <c r="K91" s="156"/>
      <c r="L91" s="157"/>
      <c r="M91" s="158"/>
      <c r="N91" s="116"/>
      <c r="O91" s="116"/>
      <c r="P91" s="7"/>
    </row>
    <row r="92" spans="1:16" ht="71.25" customHeight="1">
      <c r="A92" s="143"/>
      <c r="B92" s="156"/>
      <c r="C92" s="148"/>
      <c r="D92" s="162"/>
      <c r="E92" s="98" t="s">
        <v>408</v>
      </c>
      <c r="F92" s="16">
        <v>100</v>
      </c>
      <c r="G92" s="162"/>
      <c r="H92" s="135"/>
      <c r="I92" s="116"/>
      <c r="J92" s="116"/>
      <c r="K92" s="156"/>
      <c r="L92" s="157"/>
      <c r="M92" s="158"/>
      <c r="N92" s="116"/>
      <c r="O92" s="116"/>
      <c r="P92" s="7"/>
    </row>
    <row r="93" spans="1:16" ht="105" customHeight="1">
      <c r="A93" s="144"/>
      <c r="B93" s="156"/>
      <c r="C93" s="148"/>
      <c r="D93" s="162"/>
      <c r="E93" s="98" t="s">
        <v>410</v>
      </c>
      <c r="F93" s="16">
        <v>100</v>
      </c>
      <c r="G93" s="162"/>
      <c r="H93" s="135"/>
      <c r="I93" s="116"/>
      <c r="J93" s="116"/>
      <c r="K93" s="156"/>
      <c r="L93" s="157"/>
      <c r="M93" s="158"/>
      <c r="N93" s="116"/>
      <c r="O93" s="116"/>
      <c r="P93" s="7"/>
    </row>
    <row r="94" spans="1:16" ht="105" customHeight="1">
      <c r="A94" s="30"/>
      <c r="B94" s="156"/>
      <c r="C94" s="148"/>
      <c r="D94" s="162"/>
      <c r="E94" s="98" t="s">
        <v>407</v>
      </c>
      <c r="F94" s="16">
        <v>100</v>
      </c>
      <c r="G94" s="162"/>
      <c r="H94" s="135"/>
      <c r="I94" s="116"/>
      <c r="J94" s="116"/>
      <c r="K94" s="156"/>
      <c r="L94" s="157"/>
      <c r="M94" s="158"/>
      <c r="N94" s="116"/>
      <c r="O94" s="116"/>
      <c r="P94" s="7"/>
    </row>
    <row r="95" spans="1:16" ht="105" customHeight="1">
      <c r="A95" s="30"/>
      <c r="B95" s="156"/>
      <c r="C95" s="148"/>
      <c r="D95" s="162"/>
      <c r="E95" s="98" t="s">
        <v>416</v>
      </c>
      <c r="F95" s="16">
        <v>144</v>
      </c>
      <c r="G95" s="162"/>
      <c r="H95" s="135"/>
      <c r="I95" s="116"/>
      <c r="J95" s="116"/>
      <c r="K95" s="156"/>
      <c r="L95" s="157"/>
      <c r="M95" s="158"/>
      <c r="N95" s="116"/>
      <c r="O95" s="116"/>
      <c r="P95" s="7"/>
    </row>
    <row r="96" spans="1:16" ht="105" customHeight="1">
      <c r="A96" s="30"/>
      <c r="B96" s="159"/>
      <c r="C96" s="148"/>
      <c r="D96" s="152"/>
      <c r="E96" s="98" t="s">
        <v>417</v>
      </c>
      <c r="F96" s="16">
        <v>98</v>
      </c>
      <c r="G96" s="152"/>
      <c r="H96" s="136"/>
      <c r="I96" s="114"/>
      <c r="J96" s="114"/>
      <c r="K96" s="159"/>
      <c r="L96" s="160"/>
      <c r="M96" s="161"/>
      <c r="N96" s="114"/>
      <c r="O96" s="114"/>
      <c r="P96" s="7"/>
    </row>
    <row r="97" spans="1:16" ht="105" customHeight="1">
      <c r="A97" s="30"/>
      <c r="B97" s="50">
        <v>3</v>
      </c>
      <c r="C97" s="12" t="s">
        <v>418</v>
      </c>
      <c r="D97" s="95" t="s">
        <v>419</v>
      </c>
      <c r="E97" s="98" t="s">
        <v>420</v>
      </c>
      <c r="F97" s="16">
        <v>200</v>
      </c>
      <c r="G97" s="95" t="s">
        <v>421</v>
      </c>
      <c r="H97" s="83" t="s">
        <v>422</v>
      </c>
      <c r="I97" s="30" t="s">
        <v>658</v>
      </c>
      <c r="J97" s="30" t="s">
        <v>331</v>
      </c>
      <c r="K97" s="16" t="s">
        <v>418</v>
      </c>
      <c r="L97" s="16" t="s">
        <v>735</v>
      </c>
      <c r="M97" s="16" t="s">
        <v>647</v>
      </c>
      <c r="N97" s="16" t="s">
        <v>658</v>
      </c>
      <c r="O97" s="16" t="s">
        <v>55</v>
      </c>
      <c r="P97" s="7"/>
    </row>
    <row r="98" spans="1:16" ht="242.5" customHeight="1">
      <c r="A98" s="30"/>
      <c r="B98" s="50">
        <v>4</v>
      </c>
      <c r="C98" s="12" t="s">
        <v>423</v>
      </c>
      <c r="D98" s="95" t="s">
        <v>118</v>
      </c>
      <c r="E98" s="98" t="s">
        <v>424</v>
      </c>
      <c r="F98" s="16">
        <v>620</v>
      </c>
      <c r="G98" s="95" t="s">
        <v>425</v>
      </c>
      <c r="H98" s="83" t="s">
        <v>736</v>
      </c>
      <c r="I98" s="30" t="s">
        <v>41</v>
      </c>
      <c r="J98" s="30" t="s">
        <v>737</v>
      </c>
      <c r="K98" s="16" t="s">
        <v>738</v>
      </c>
      <c r="L98" s="16" t="s">
        <v>739</v>
      </c>
      <c r="M98" s="16" t="s">
        <v>647</v>
      </c>
      <c r="N98" s="16" t="s">
        <v>426</v>
      </c>
      <c r="O98" s="16" t="s">
        <v>55</v>
      </c>
      <c r="P98" s="7"/>
    </row>
    <row r="99" spans="1:16" ht="105" customHeight="1">
      <c r="A99" s="30"/>
      <c r="B99" s="12">
        <v>5</v>
      </c>
      <c r="C99" s="30" t="s">
        <v>427</v>
      </c>
      <c r="D99" s="97" t="s">
        <v>178</v>
      </c>
      <c r="E99" s="98" t="s">
        <v>428</v>
      </c>
      <c r="F99" s="16">
        <v>457</v>
      </c>
      <c r="G99" s="97" t="s">
        <v>429</v>
      </c>
      <c r="H99" s="84" t="s">
        <v>584</v>
      </c>
      <c r="I99" s="30" t="s">
        <v>431</v>
      </c>
      <c r="J99" s="30" t="s">
        <v>741</v>
      </c>
      <c r="K99" s="16" t="s">
        <v>430</v>
      </c>
      <c r="L99" s="16" t="s">
        <v>742</v>
      </c>
      <c r="M99" s="16" t="s">
        <v>22</v>
      </c>
      <c r="N99" s="16" t="s">
        <v>432</v>
      </c>
      <c r="O99" s="16" t="s">
        <v>55</v>
      </c>
      <c r="P99" s="7"/>
    </row>
    <row r="100" spans="1:16" ht="105" customHeight="1">
      <c r="A100" s="30"/>
      <c r="B100" s="12">
        <v>6</v>
      </c>
      <c r="C100" s="32">
        <v>45471</v>
      </c>
      <c r="D100" s="97" t="s">
        <v>82</v>
      </c>
      <c r="E100" s="98" t="s">
        <v>3</v>
      </c>
      <c r="F100" s="16"/>
      <c r="G100" s="97" t="s">
        <v>429</v>
      </c>
      <c r="H100" s="84" t="s">
        <v>740</v>
      </c>
      <c r="I100" s="30" t="s">
        <v>658</v>
      </c>
      <c r="J100" s="30" t="s">
        <v>743</v>
      </c>
      <c r="K100" s="16" t="s">
        <v>443</v>
      </c>
      <c r="L100" s="31" t="s">
        <v>11</v>
      </c>
      <c r="M100" s="16" t="s">
        <v>670</v>
      </c>
      <c r="N100" s="16" t="s">
        <v>658</v>
      </c>
      <c r="O100" s="16" t="s">
        <v>55</v>
      </c>
      <c r="P100" s="7"/>
    </row>
    <row r="101" spans="1:16" ht="61.5" customHeight="1">
      <c r="A101" s="110" t="s">
        <v>20</v>
      </c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2"/>
      <c r="M101" s="168">
        <v>6</v>
      </c>
      <c r="N101" s="168"/>
      <c r="O101" s="168"/>
      <c r="P101" s="7"/>
    </row>
    <row r="102" spans="1:16" ht="76.5" customHeight="1">
      <c r="A102" s="16"/>
      <c r="B102" s="16">
        <v>1</v>
      </c>
      <c r="C102" s="17">
        <v>45476</v>
      </c>
      <c r="D102" s="98" t="s">
        <v>433</v>
      </c>
      <c r="E102" s="98" t="s">
        <v>502</v>
      </c>
      <c r="F102" s="16"/>
      <c r="G102" s="98" t="s">
        <v>434</v>
      </c>
      <c r="H102" s="82" t="s">
        <v>744</v>
      </c>
      <c r="I102" s="16" t="s">
        <v>658</v>
      </c>
      <c r="J102" s="16" t="s">
        <v>748</v>
      </c>
      <c r="K102" s="16" t="s">
        <v>749</v>
      </c>
      <c r="L102" s="16" t="s">
        <v>750</v>
      </c>
      <c r="M102" s="16" t="s">
        <v>647</v>
      </c>
      <c r="N102" s="16" t="s">
        <v>658</v>
      </c>
      <c r="O102" s="16" t="s">
        <v>55</v>
      </c>
      <c r="P102" s="6"/>
    </row>
    <row r="103" spans="1:16" ht="409.5" customHeight="1">
      <c r="A103" s="16"/>
      <c r="B103" s="16">
        <f>B102+1</f>
        <v>2</v>
      </c>
      <c r="C103" s="17">
        <v>45476</v>
      </c>
      <c r="D103" s="98" t="s">
        <v>450</v>
      </c>
      <c r="E103" s="98" t="s">
        <v>451</v>
      </c>
      <c r="F103" s="16"/>
      <c r="G103" s="98" t="s">
        <v>452</v>
      </c>
      <c r="H103" s="85" t="s">
        <v>747</v>
      </c>
      <c r="I103" s="69" t="s">
        <v>746</v>
      </c>
      <c r="J103" s="33" t="s">
        <v>745</v>
      </c>
      <c r="K103" s="16" t="s">
        <v>751</v>
      </c>
      <c r="L103" s="16" t="s">
        <v>752</v>
      </c>
      <c r="M103" s="16" t="s">
        <v>70</v>
      </c>
      <c r="N103" s="16" t="s">
        <v>658</v>
      </c>
      <c r="O103" s="16" t="s">
        <v>55</v>
      </c>
      <c r="P103" s="6"/>
    </row>
    <row r="104" spans="1:16" ht="155.25" customHeight="1">
      <c r="A104" s="16"/>
      <c r="B104" s="16">
        <f t="shared" ref="B104:B119" si="0">B103+1</f>
        <v>3</v>
      </c>
      <c r="C104" s="17">
        <v>45481</v>
      </c>
      <c r="D104" s="98" t="s">
        <v>86</v>
      </c>
      <c r="E104" s="98" t="s">
        <v>435</v>
      </c>
      <c r="F104" s="16">
        <v>550</v>
      </c>
      <c r="G104" s="98" t="s">
        <v>440</v>
      </c>
      <c r="H104" s="82" t="s">
        <v>441</v>
      </c>
      <c r="I104" s="16" t="s">
        <v>453</v>
      </c>
      <c r="J104" s="16" t="s">
        <v>454</v>
      </c>
      <c r="K104" s="61" t="s">
        <v>442</v>
      </c>
      <c r="L104" s="16" t="s">
        <v>513</v>
      </c>
      <c r="M104" s="16" t="s">
        <v>753</v>
      </c>
      <c r="N104" s="16" t="s">
        <v>505</v>
      </c>
      <c r="O104" s="16" t="s">
        <v>55</v>
      </c>
      <c r="P104" s="6"/>
    </row>
    <row r="105" spans="1:16" ht="409.5" customHeight="1">
      <c r="A105" s="16"/>
      <c r="B105" s="16">
        <f t="shared" si="0"/>
        <v>4</v>
      </c>
      <c r="C105" s="17">
        <v>45483</v>
      </c>
      <c r="D105" s="98" t="s">
        <v>433</v>
      </c>
      <c r="E105" s="98" t="s">
        <v>502</v>
      </c>
      <c r="F105" s="16">
        <f>672+307</f>
        <v>979</v>
      </c>
      <c r="G105" s="98" t="s">
        <v>504</v>
      </c>
      <c r="H105" s="82" t="s">
        <v>631</v>
      </c>
      <c r="I105" s="16" t="s">
        <v>41</v>
      </c>
      <c r="J105" s="16" t="s">
        <v>665</v>
      </c>
      <c r="K105" s="17" t="s">
        <v>39</v>
      </c>
      <c r="L105" s="16" t="s">
        <v>755</v>
      </c>
      <c r="M105" s="16" t="s">
        <v>647</v>
      </c>
      <c r="N105" s="16" t="s">
        <v>754</v>
      </c>
      <c r="O105" s="16" t="s">
        <v>55</v>
      </c>
      <c r="P105" s="6"/>
    </row>
    <row r="106" spans="1:16" ht="155.25" customHeight="1">
      <c r="A106" s="16"/>
      <c r="B106" s="16">
        <f t="shared" si="0"/>
        <v>5</v>
      </c>
      <c r="C106" s="17">
        <v>45483</v>
      </c>
      <c r="D106" s="98" t="s">
        <v>433</v>
      </c>
      <c r="E106" s="98" t="s">
        <v>502</v>
      </c>
      <c r="F106" s="31" t="s">
        <v>11</v>
      </c>
      <c r="G106" s="98" t="s">
        <v>503</v>
      </c>
      <c r="H106" s="82" t="s">
        <v>756</v>
      </c>
      <c r="I106" s="16" t="s">
        <v>658</v>
      </c>
      <c r="J106" s="16" t="s">
        <v>665</v>
      </c>
      <c r="K106" s="62">
        <v>45483</v>
      </c>
      <c r="L106" s="16" t="s">
        <v>755</v>
      </c>
      <c r="M106" s="16" t="s">
        <v>647</v>
      </c>
      <c r="N106" s="16" t="s">
        <v>658</v>
      </c>
      <c r="O106" s="16" t="s">
        <v>55</v>
      </c>
      <c r="P106" s="6"/>
    </row>
    <row r="107" spans="1:16" ht="155.25" customHeight="1">
      <c r="A107" s="16"/>
      <c r="B107" s="16">
        <f t="shared" si="0"/>
        <v>6</v>
      </c>
      <c r="C107" s="17">
        <v>45483</v>
      </c>
      <c r="D107" s="98" t="s">
        <v>557</v>
      </c>
      <c r="E107" s="98" t="s">
        <v>456</v>
      </c>
      <c r="F107" s="31" t="s">
        <v>11</v>
      </c>
      <c r="G107" s="98" t="s">
        <v>499</v>
      </c>
      <c r="H107" s="82" t="s">
        <v>500</v>
      </c>
      <c r="I107" s="16" t="s">
        <v>658</v>
      </c>
      <c r="J107" s="16" t="s">
        <v>501</v>
      </c>
      <c r="K107" s="62">
        <v>45475</v>
      </c>
      <c r="L107" s="16" t="s">
        <v>529</v>
      </c>
      <c r="M107" s="16" t="s">
        <v>757</v>
      </c>
      <c r="N107" s="16" t="s">
        <v>658</v>
      </c>
      <c r="O107" s="16" t="s">
        <v>55</v>
      </c>
      <c r="P107" s="6"/>
    </row>
    <row r="108" spans="1:16" ht="113.25" customHeight="1">
      <c r="A108" s="16"/>
      <c r="B108" s="16">
        <f t="shared" si="0"/>
        <v>7</v>
      </c>
      <c r="C108" s="59">
        <v>45490</v>
      </c>
      <c r="D108" s="98" t="s">
        <v>79</v>
      </c>
      <c r="E108" s="98" t="s">
        <v>496</v>
      </c>
      <c r="F108" s="31" t="s">
        <v>11</v>
      </c>
      <c r="G108" s="98" t="s">
        <v>497</v>
      </c>
      <c r="H108" s="82" t="s">
        <v>498</v>
      </c>
      <c r="I108" s="16" t="s">
        <v>658</v>
      </c>
      <c r="J108" s="16" t="s">
        <v>762</v>
      </c>
      <c r="K108" s="17">
        <v>45488</v>
      </c>
      <c r="L108" s="61" t="s">
        <v>530</v>
      </c>
      <c r="M108" s="16" t="s">
        <v>647</v>
      </c>
      <c r="N108" s="16" t="s">
        <v>658</v>
      </c>
      <c r="O108" s="16" t="s">
        <v>55</v>
      </c>
      <c r="P108" s="6"/>
    </row>
    <row r="109" spans="1:16" ht="409.5" customHeight="1">
      <c r="A109" s="16"/>
      <c r="B109" s="16">
        <f t="shared" si="0"/>
        <v>8</v>
      </c>
      <c r="C109" s="59">
        <v>45492</v>
      </c>
      <c r="D109" s="98" t="s">
        <v>212</v>
      </c>
      <c r="E109" s="99" t="s">
        <v>506</v>
      </c>
      <c r="F109" s="16" t="s">
        <v>507</v>
      </c>
      <c r="G109" s="98" t="s">
        <v>508</v>
      </c>
      <c r="H109" s="82" t="s">
        <v>758</v>
      </c>
      <c r="I109" s="28" t="s">
        <v>44</v>
      </c>
      <c r="J109" s="28" t="s">
        <v>759</v>
      </c>
      <c r="K109" s="62" t="s">
        <v>669</v>
      </c>
      <c r="L109" s="16" t="s">
        <v>669</v>
      </c>
      <c r="M109" s="31" t="s">
        <v>11</v>
      </c>
      <c r="N109" s="28" t="s">
        <v>509</v>
      </c>
      <c r="O109" s="28" t="s">
        <v>55</v>
      </c>
      <c r="P109" s="43"/>
    </row>
    <row r="110" spans="1:16" s="8" customFormat="1" ht="281.25" customHeight="1">
      <c r="A110" s="179"/>
      <c r="B110" s="16">
        <f t="shared" si="0"/>
        <v>9</v>
      </c>
      <c r="C110" s="59">
        <v>45495</v>
      </c>
      <c r="D110" s="98" t="s">
        <v>84</v>
      </c>
      <c r="E110" s="98" t="s">
        <v>491</v>
      </c>
      <c r="F110" s="16">
        <v>288</v>
      </c>
      <c r="G110" s="98" t="s">
        <v>492</v>
      </c>
      <c r="H110" s="82" t="s">
        <v>493</v>
      </c>
      <c r="I110" s="28" t="s">
        <v>494</v>
      </c>
      <c r="J110" s="28" t="s">
        <v>495</v>
      </c>
      <c r="K110" s="62">
        <v>45491</v>
      </c>
      <c r="L110" s="16" t="s">
        <v>39</v>
      </c>
      <c r="M110" s="16" t="s">
        <v>70</v>
      </c>
      <c r="N110" s="28" t="s">
        <v>658</v>
      </c>
      <c r="O110" s="28" t="s">
        <v>55</v>
      </c>
      <c r="P110" s="164"/>
    </row>
    <row r="111" spans="1:16" s="8" customFormat="1" ht="266.25" customHeight="1">
      <c r="A111" s="179"/>
      <c r="B111" s="16">
        <f t="shared" si="0"/>
        <v>10</v>
      </c>
      <c r="C111" s="59">
        <v>45496</v>
      </c>
      <c r="D111" s="98" t="s">
        <v>80</v>
      </c>
      <c r="E111" s="98" t="s">
        <v>486</v>
      </c>
      <c r="F111" s="16">
        <v>60</v>
      </c>
      <c r="G111" s="98" t="s">
        <v>487</v>
      </c>
      <c r="H111" s="82" t="s">
        <v>488</v>
      </c>
      <c r="I111" s="29" t="s">
        <v>489</v>
      </c>
      <c r="J111" s="29" t="s">
        <v>490</v>
      </c>
      <c r="K111" s="57">
        <v>45494</v>
      </c>
      <c r="L111" s="57">
        <v>45492</v>
      </c>
      <c r="M111" s="28" t="s">
        <v>760</v>
      </c>
      <c r="N111" s="29" t="s">
        <v>658</v>
      </c>
      <c r="O111" s="29" t="s">
        <v>55</v>
      </c>
      <c r="P111" s="165"/>
    </row>
    <row r="112" spans="1:16" ht="187.5" customHeight="1">
      <c r="A112" s="179"/>
      <c r="B112" s="16">
        <f t="shared" si="0"/>
        <v>11</v>
      </c>
      <c r="C112" s="59">
        <v>45497</v>
      </c>
      <c r="D112" s="98" t="s">
        <v>557</v>
      </c>
      <c r="E112" s="98" t="s">
        <v>458</v>
      </c>
      <c r="F112" s="31" t="s">
        <v>11</v>
      </c>
      <c r="G112" s="98" t="s">
        <v>474</v>
      </c>
      <c r="H112" s="82" t="s">
        <v>761</v>
      </c>
      <c r="I112" s="16" t="s">
        <v>658</v>
      </c>
      <c r="J112" s="16" t="s">
        <v>598</v>
      </c>
      <c r="K112" s="32">
        <v>45496</v>
      </c>
      <c r="L112" s="63" t="s">
        <v>531</v>
      </c>
      <c r="M112" s="30" t="s">
        <v>33</v>
      </c>
      <c r="N112" s="30" t="s">
        <v>658</v>
      </c>
      <c r="O112" s="30" t="s">
        <v>55</v>
      </c>
      <c r="P112" s="166"/>
    </row>
    <row r="113" spans="1:16" ht="187.5" customHeight="1">
      <c r="A113" s="16"/>
      <c r="B113" s="16">
        <f t="shared" si="0"/>
        <v>12</v>
      </c>
      <c r="C113" s="59">
        <v>45497</v>
      </c>
      <c r="D113" s="98" t="s">
        <v>557</v>
      </c>
      <c r="E113" s="98" t="s">
        <v>475</v>
      </c>
      <c r="F113" s="31" t="s">
        <v>11</v>
      </c>
      <c r="G113" s="98" t="s">
        <v>476</v>
      </c>
      <c r="H113" s="82" t="s">
        <v>763</v>
      </c>
      <c r="I113" s="30" t="s">
        <v>658</v>
      </c>
      <c r="J113" s="30" t="s">
        <v>764</v>
      </c>
      <c r="K113" s="32">
        <v>45485</v>
      </c>
      <c r="L113" s="63" t="s">
        <v>532</v>
      </c>
      <c r="M113" s="30" t="s">
        <v>33</v>
      </c>
      <c r="N113" s="30" t="s">
        <v>658</v>
      </c>
      <c r="O113" s="30" t="s">
        <v>55</v>
      </c>
      <c r="P113" s="58"/>
    </row>
    <row r="114" spans="1:16" s="8" customFormat="1" ht="220.5" customHeight="1">
      <c r="A114" s="16"/>
      <c r="B114" s="16">
        <f t="shared" si="0"/>
        <v>13</v>
      </c>
      <c r="C114" s="59">
        <v>45498</v>
      </c>
      <c r="D114" s="98" t="s">
        <v>91</v>
      </c>
      <c r="E114" s="98" t="s">
        <v>470</v>
      </c>
      <c r="F114" s="31" t="s">
        <v>11</v>
      </c>
      <c r="G114" s="98" t="s">
        <v>471</v>
      </c>
      <c r="H114" s="82" t="s">
        <v>472</v>
      </c>
      <c r="I114" s="16" t="s">
        <v>658</v>
      </c>
      <c r="J114" s="16" t="s">
        <v>765</v>
      </c>
      <c r="K114" s="17">
        <v>45497</v>
      </c>
      <c r="L114" s="16" t="s">
        <v>766</v>
      </c>
      <c r="M114" s="16" t="s">
        <v>767</v>
      </c>
      <c r="N114" s="16" t="s">
        <v>658</v>
      </c>
      <c r="O114" s="16" t="s">
        <v>55</v>
      </c>
      <c r="P114" s="6"/>
    </row>
    <row r="115" spans="1:16" ht="133.5" customHeight="1">
      <c r="A115" s="16"/>
      <c r="B115" s="16">
        <f t="shared" si="0"/>
        <v>14</v>
      </c>
      <c r="C115" s="59">
        <v>45499</v>
      </c>
      <c r="D115" s="98" t="s">
        <v>466</v>
      </c>
      <c r="E115" s="98" t="s">
        <v>467</v>
      </c>
      <c r="F115" s="31" t="s">
        <v>11</v>
      </c>
      <c r="G115" s="98" t="s">
        <v>468</v>
      </c>
      <c r="H115" s="82" t="s">
        <v>768</v>
      </c>
      <c r="I115" s="16" t="s">
        <v>658</v>
      </c>
      <c r="J115" s="16" t="s">
        <v>769</v>
      </c>
      <c r="K115" s="64">
        <v>45481</v>
      </c>
      <c r="L115" s="59">
        <v>45452</v>
      </c>
      <c r="M115" s="59" t="s">
        <v>647</v>
      </c>
      <c r="N115" s="59" t="s">
        <v>658</v>
      </c>
      <c r="O115" s="16" t="s">
        <v>55</v>
      </c>
      <c r="P115" s="6"/>
    </row>
    <row r="116" spans="1:16" ht="168.75" customHeight="1">
      <c r="A116" s="16"/>
      <c r="B116" s="16">
        <f t="shared" si="0"/>
        <v>15</v>
      </c>
      <c r="C116" s="59">
        <v>45504</v>
      </c>
      <c r="D116" s="98" t="s">
        <v>557</v>
      </c>
      <c r="E116" s="98" t="s">
        <v>459</v>
      </c>
      <c r="F116" s="16">
        <v>2</v>
      </c>
      <c r="G116" s="98" t="s">
        <v>388</v>
      </c>
      <c r="H116" s="82" t="s">
        <v>462</v>
      </c>
      <c r="I116" s="16" t="s">
        <v>658</v>
      </c>
      <c r="J116" s="16" t="s">
        <v>770</v>
      </c>
      <c r="K116" s="64">
        <v>45503</v>
      </c>
      <c r="L116" s="16" t="s">
        <v>771</v>
      </c>
      <c r="M116" s="16" t="s">
        <v>33</v>
      </c>
      <c r="N116" s="16" t="s">
        <v>658</v>
      </c>
      <c r="O116" s="16" t="s">
        <v>55</v>
      </c>
      <c r="P116" s="6"/>
    </row>
    <row r="117" spans="1:16" ht="144" customHeight="1">
      <c r="A117" s="16"/>
      <c r="B117" s="16">
        <f t="shared" si="0"/>
        <v>16</v>
      </c>
      <c r="C117" s="59">
        <v>45504</v>
      </c>
      <c r="D117" s="98" t="s">
        <v>557</v>
      </c>
      <c r="E117" s="98" t="s">
        <v>475</v>
      </c>
      <c r="F117" s="31" t="s">
        <v>11</v>
      </c>
      <c r="G117" s="98" t="s">
        <v>460</v>
      </c>
      <c r="H117" s="82" t="s">
        <v>772</v>
      </c>
      <c r="I117" s="16" t="s">
        <v>658</v>
      </c>
      <c r="J117" s="16" t="s">
        <v>773</v>
      </c>
      <c r="K117" s="64">
        <v>45503</v>
      </c>
      <c r="L117" s="16" t="s">
        <v>461</v>
      </c>
      <c r="M117" s="16" t="s">
        <v>33</v>
      </c>
      <c r="N117" s="16" t="s">
        <v>658</v>
      </c>
      <c r="O117" s="16" t="s">
        <v>55</v>
      </c>
      <c r="P117" s="6"/>
    </row>
    <row r="118" spans="1:16" ht="144" customHeight="1">
      <c r="A118" s="16"/>
      <c r="B118" s="16">
        <f t="shared" si="0"/>
        <v>17</v>
      </c>
      <c r="C118" s="59">
        <v>45504</v>
      </c>
      <c r="D118" s="98" t="s">
        <v>557</v>
      </c>
      <c r="E118" s="98" t="s">
        <v>458</v>
      </c>
      <c r="F118" s="31" t="s">
        <v>11</v>
      </c>
      <c r="G118" s="98" t="s">
        <v>457</v>
      </c>
      <c r="H118" s="82" t="s">
        <v>774</v>
      </c>
      <c r="I118" s="16" t="s">
        <v>658</v>
      </c>
      <c r="J118" s="16" t="s">
        <v>775</v>
      </c>
      <c r="K118" s="64">
        <v>45503</v>
      </c>
      <c r="L118" s="16" t="s">
        <v>461</v>
      </c>
      <c r="M118" s="16" t="s">
        <v>33</v>
      </c>
      <c r="N118" s="16" t="s">
        <v>658</v>
      </c>
      <c r="O118" s="16" t="s">
        <v>55</v>
      </c>
      <c r="P118" s="6"/>
    </row>
    <row r="119" spans="1:16" s="8" customFormat="1" ht="362.25" customHeight="1">
      <c r="A119" s="179"/>
      <c r="B119" s="16">
        <f t="shared" si="0"/>
        <v>18</v>
      </c>
      <c r="C119" s="59">
        <v>45504</v>
      </c>
      <c r="D119" s="98" t="s">
        <v>463</v>
      </c>
      <c r="E119" s="98" t="s">
        <v>510</v>
      </c>
      <c r="F119" s="16">
        <v>1</v>
      </c>
      <c r="G119" s="98" t="s">
        <v>464</v>
      </c>
      <c r="H119" s="82" t="s">
        <v>776</v>
      </c>
      <c r="I119" s="16" t="s">
        <v>658</v>
      </c>
      <c r="J119" s="16" t="s">
        <v>519</v>
      </c>
      <c r="K119" s="17">
        <v>45465</v>
      </c>
      <c r="L119" s="16" t="s">
        <v>511</v>
      </c>
      <c r="M119" s="16" t="s">
        <v>512</v>
      </c>
      <c r="N119" s="16" t="s">
        <v>658</v>
      </c>
      <c r="O119" s="16" t="s">
        <v>55</v>
      </c>
      <c r="P119" s="6"/>
    </row>
    <row r="120" spans="1:16" ht="61.5" customHeight="1">
      <c r="A120" s="179"/>
      <c r="B120" s="65"/>
      <c r="C120" s="65"/>
      <c r="D120" s="98"/>
      <c r="E120" s="98"/>
      <c r="F120" s="16"/>
      <c r="G120" s="98" t="s">
        <v>610</v>
      </c>
      <c r="H120" s="82"/>
      <c r="I120" s="65"/>
      <c r="J120" s="65"/>
      <c r="K120" s="65"/>
      <c r="L120" s="65" t="s">
        <v>40</v>
      </c>
      <c r="M120" s="172">
        <v>18</v>
      </c>
      <c r="N120" s="172"/>
      <c r="O120" s="172"/>
      <c r="P120" s="7"/>
    </row>
    <row r="121" spans="1:16" s="8" customFormat="1" ht="204.75" customHeight="1">
      <c r="A121" s="179"/>
      <c r="B121" s="16">
        <v>1</v>
      </c>
      <c r="C121" s="17">
        <v>45509</v>
      </c>
      <c r="D121" s="98" t="s">
        <v>73</v>
      </c>
      <c r="E121" s="98" t="s">
        <v>533</v>
      </c>
      <c r="F121" s="16">
        <v>90</v>
      </c>
      <c r="G121" s="98" t="s">
        <v>534</v>
      </c>
      <c r="H121" s="82" t="s">
        <v>777</v>
      </c>
      <c r="I121" s="16" t="s">
        <v>41</v>
      </c>
      <c r="J121" s="16" t="s">
        <v>778</v>
      </c>
      <c r="K121" s="59">
        <v>45236</v>
      </c>
      <c r="L121" s="31" t="s">
        <v>11</v>
      </c>
      <c r="M121" s="31" t="s">
        <v>11</v>
      </c>
      <c r="N121" s="16" t="s">
        <v>688</v>
      </c>
      <c r="O121" s="16" t="s">
        <v>55</v>
      </c>
      <c r="P121" s="6"/>
    </row>
    <row r="122" spans="1:16" s="8" customFormat="1" ht="204.75" customHeight="1">
      <c r="A122" s="179"/>
      <c r="B122" s="148">
        <v>2</v>
      </c>
      <c r="C122" s="175">
        <v>45510</v>
      </c>
      <c r="D122" s="174" t="s">
        <v>80</v>
      </c>
      <c r="E122" s="101" t="s">
        <v>535</v>
      </c>
      <c r="F122" s="108">
        <v>20</v>
      </c>
      <c r="G122" s="98" t="s">
        <v>564</v>
      </c>
      <c r="H122" s="134" t="s">
        <v>779</v>
      </c>
      <c r="I122" s="113" t="s">
        <v>41</v>
      </c>
      <c r="J122" s="113" t="s">
        <v>780</v>
      </c>
      <c r="K122" s="113" t="s">
        <v>669</v>
      </c>
      <c r="L122" s="113" t="s">
        <v>669</v>
      </c>
      <c r="M122" s="113" t="s">
        <v>781</v>
      </c>
      <c r="N122" s="113" t="s">
        <v>688</v>
      </c>
      <c r="O122" s="113" t="s">
        <v>55</v>
      </c>
      <c r="P122" s="6"/>
    </row>
    <row r="123" spans="1:16" s="8" customFormat="1" ht="204.75" customHeight="1">
      <c r="A123" s="179"/>
      <c r="B123" s="148"/>
      <c r="C123" s="175"/>
      <c r="D123" s="174"/>
      <c r="E123" s="101" t="s">
        <v>104</v>
      </c>
      <c r="F123" s="108">
        <v>120</v>
      </c>
      <c r="G123" s="98" t="s">
        <v>564</v>
      </c>
      <c r="H123" s="135"/>
      <c r="I123" s="116"/>
      <c r="J123" s="116"/>
      <c r="K123" s="116"/>
      <c r="L123" s="116"/>
      <c r="M123" s="116"/>
      <c r="N123" s="116"/>
      <c r="O123" s="116"/>
      <c r="P123" s="6"/>
    </row>
    <row r="124" spans="1:16" s="8" customFormat="1" ht="204.75" customHeight="1">
      <c r="A124" s="179"/>
      <c r="B124" s="148"/>
      <c r="C124" s="175"/>
      <c r="D124" s="174"/>
      <c r="E124" s="101" t="s">
        <v>105</v>
      </c>
      <c r="F124" s="108">
        <v>156</v>
      </c>
      <c r="G124" s="98" t="s">
        <v>564</v>
      </c>
      <c r="H124" s="135"/>
      <c r="I124" s="116"/>
      <c r="J124" s="116"/>
      <c r="K124" s="116"/>
      <c r="L124" s="116"/>
      <c r="M124" s="116"/>
      <c r="N124" s="116"/>
      <c r="O124" s="116"/>
      <c r="P124" s="6"/>
    </row>
    <row r="125" spans="1:16" s="8" customFormat="1" ht="204.75" customHeight="1">
      <c r="A125" s="179"/>
      <c r="B125" s="148"/>
      <c r="C125" s="175"/>
      <c r="D125" s="174"/>
      <c r="E125" s="101" t="s">
        <v>536</v>
      </c>
      <c r="F125" s="108">
        <v>89</v>
      </c>
      <c r="G125" s="98" t="s">
        <v>564</v>
      </c>
      <c r="H125" s="135"/>
      <c r="I125" s="116"/>
      <c r="J125" s="116"/>
      <c r="K125" s="116"/>
      <c r="L125" s="116"/>
      <c r="M125" s="116"/>
      <c r="N125" s="116"/>
      <c r="O125" s="116"/>
      <c r="P125" s="6"/>
    </row>
    <row r="126" spans="1:16" s="8" customFormat="1" ht="204.75" customHeight="1">
      <c r="A126" s="179"/>
      <c r="B126" s="148"/>
      <c r="C126" s="175"/>
      <c r="D126" s="174"/>
      <c r="E126" s="101" t="s">
        <v>537</v>
      </c>
      <c r="F126" s="108">
        <v>60</v>
      </c>
      <c r="G126" s="98" t="s">
        <v>564</v>
      </c>
      <c r="H126" s="135"/>
      <c r="I126" s="116"/>
      <c r="J126" s="116"/>
      <c r="K126" s="116"/>
      <c r="L126" s="116"/>
      <c r="M126" s="116"/>
      <c r="N126" s="116"/>
      <c r="O126" s="116"/>
      <c r="P126" s="6"/>
    </row>
    <row r="127" spans="1:16" s="8" customFormat="1" ht="204.75" customHeight="1">
      <c r="A127" s="179"/>
      <c r="B127" s="148"/>
      <c r="C127" s="175"/>
      <c r="D127" s="174"/>
      <c r="E127" s="101" t="s">
        <v>536</v>
      </c>
      <c r="F127" s="108">
        <v>360</v>
      </c>
      <c r="G127" s="98" t="s">
        <v>564</v>
      </c>
      <c r="H127" s="135"/>
      <c r="I127" s="116"/>
      <c r="J127" s="116"/>
      <c r="K127" s="116"/>
      <c r="L127" s="116"/>
      <c r="M127" s="116"/>
      <c r="N127" s="116"/>
      <c r="O127" s="116"/>
      <c r="P127" s="6"/>
    </row>
    <row r="128" spans="1:16" ht="46.5" customHeight="1">
      <c r="A128" s="179"/>
      <c r="B128" s="148"/>
      <c r="C128" s="175"/>
      <c r="D128" s="174"/>
      <c r="E128" s="101" t="s">
        <v>105</v>
      </c>
      <c r="F128" s="108">
        <v>120</v>
      </c>
      <c r="G128" s="98" t="s">
        <v>564</v>
      </c>
      <c r="H128" s="136"/>
      <c r="I128" s="114"/>
      <c r="J128" s="114"/>
      <c r="K128" s="114"/>
      <c r="L128" s="114"/>
      <c r="M128" s="114"/>
      <c r="N128" s="114"/>
      <c r="O128" s="114"/>
      <c r="P128" s="6"/>
    </row>
    <row r="129" spans="1:16" s="8" customFormat="1" ht="240">
      <c r="A129" s="179"/>
      <c r="B129" s="16">
        <v>3</v>
      </c>
      <c r="C129" s="17">
        <v>45511</v>
      </c>
      <c r="D129" s="98" t="s">
        <v>316</v>
      </c>
      <c r="E129" s="98" t="s">
        <v>538</v>
      </c>
      <c r="F129" s="16"/>
      <c r="G129" s="98" t="s">
        <v>539</v>
      </c>
      <c r="H129" s="82" t="s">
        <v>782</v>
      </c>
      <c r="I129" s="16" t="s">
        <v>658</v>
      </c>
      <c r="J129" s="16" t="s">
        <v>783</v>
      </c>
      <c r="K129" s="16" t="s">
        <v>751</v>
      </c>
      <c r="L129" s="16" t="s">
        <v>752</v>
      </c>
      <c r="M129" s="16" t="s">
        <v>70</v>
      </c>
      <c r="N129" s="16" t="s">
        <v>658</v>
      </c>
      <c r="O129" s="16" t="s">
        <v>55</v>
      </c>
      <c r="P129" s="6"/>
    </row>
    <row r="130" spans="1:16" ht="144">
      <c r="A130" s="179"/>
      <c r="B130" s="16">
        <v>4</v>
      </c>
      <c r="C130" s="17">
        <v>45511</v>
      </c>
      <c r="D130" s="98" t="s">
        <v>74</v>
      </c>
      <c r="E130" s="98" t="s">
        <v>43</v>
      </c>
      <c r="F130" s="16">
        <f>11160+253</f>
        <v>11413</v>
      </c>
      <c r="G130" s="98" t="s">
        <v>540</v>
      </c>
      <c r="H130" s="82" t="s">
        <v>784</v>
      </c>
      <c r="I130" s="16" t="s">
        <v>41</v>
      </c>
      <c r="K130" s="17">
        <v>45511</v>
      </c>
      <c r="L130" s="16" t="s">
        <v>787</v>
      </c>
      <c r="M130" s="16" t="s">
        <v>786</v>
      </c>
      <c r="N130" s="16" t="s">
        <v>785</v>
      </c>
      <c r="O130" s="16" t="s">
        <v>55</v>
      </c>
      <c r="P130" s="6"/>
    </row>
    <row r="131" spans="1:16" ht="144">
      <c r="A131" s="179"/>
      <c r="B131" s="16">
        <v>5</v>
      </c>
      <c r="C131" s="17">
        <v>45512</v>
      </c>
      <c r="D131" s="98" t="s">
        <v>541</v>
      </c>
      <c r="E131" s="98" t="s">
        <v>542</v>
      </c>
      <c r="F131" s="16">
        <v>273</v>
      </c>
      <c r="G131" s="98" t="s">
        <v>789</v>
      </c>
      <c r="H131" s="82" t="s">
        <v>790</v>
      </c>
      <c r="I131" s="16" t="s">
        <v>791</v>
      </c>
      <c r="J131" s="16" t="s">
        <v>792</v>
      </c>
      <c r="K131" s="17">
        <v>45506</v>
      </c>
      <c r="L131" s="17">
        <v>45503</v>
      </c>
      <c r="M131" s="16" t="s">
        <v>70</v>
      </c>
      <c r="N131" s="16" t="s">
        <v>793</v>
      </c>
      <c r="O131" s="16" t="s">
        <v>55</v>
      </c>
      <c r="P131" s="7"/>
    </row>
    <row r="132" spans="1:16" ht="144">
      <c r="A132" s="179"/>
      <c r="B132" s="16">
        <v>6</v>
      </c>
      <c r="C132" s="17">
        <v>45512</v>
      </c>
      <c r="D132" s="98" t="s">
        <v>609</v>
      </c>
      <c r="E132" s="98" t="s">
        <v>545</v>
      </c>
      <c r="F132" s="16">
        <v>1</v>
      </c>
      <c r="G132" s="98" t="s">
        <v>570</v>
      </c>
      <c r="H132" s="82" t="s">
        <v>794</v>
      </c>
      <c r="I132" s="16" t="s">
        <v>795</v>
      </c>
      <c r="J132" s="16" t="s">
        <v>796</v>
      </c>
      <c r="K132" s="31" t="s">
        <v>11</v>
      </c>
      <c r="L132" s="31" t="s">
        <v>11</v>
      </c>
      <c r="M132" s="16" t="s">
        <v>797</v>
      </c>
      <c r="N132" s="16" t="s">
        <v>658</v>
      </c>
      <c r="O132" s="16" t="s">
        <v>55</v>
      </c>
      <c r="P132" s="7"/>
    </row>
    <row r="133" spans="1:16" ht="144">
      <c r="A133" s="179"/>
      <c r="B133" s="16">
        <v>7</v>
      </c>
      <c r="C133" s="17">
        <v>45513</v>
      </c>
      <c r="D133" s="98" t="s">
        <v>74</v>
      </c>
      <c r="E133" s="98" t="s">
        <v>43</v>
      </c>
      <c r="F133" s="16">
        <v>281</v>
      </c>
      <c r="G133" s="98" t="s">
        <v>798</v>
      </c>
      <c r="H133" s="82" t="s">
        <v>784</v>
      </c>
      <c r="I133" s="16" t="s">
        <v>41</v>
      </c>
      <c r="J133" s="16" t="s">
        <v>788</v>
      </c>
      <c r="K133" s="17">
        <v>45511</v>
      </c>
      <c r="L133" s="16" t="s">
        <v>787</v>
      </c>
      <c r="M133" s="16" t="s">
        <v>786</v>
      </c>
      <c r="N133" s="16" t="s">
        <v>785</v>
      </c>
      <c r="O133" s="16" t="s">
        <v>55</v>
      </c>
      <c r="P133" s="7"/>
    </row>
    <row r="134" spans="1:16" ht="46.5" customHeight="1">
      <c r="A134" s="179"/>
      <c r="B134" s="16">
        <v>8</v>
      </c>
      <c r="C134" s="17">
        <v>45517</v>
      </c>
      <c r="D134" s="98" t="s">
        <v>73</v>
      </c>
      <c r="E134" s="98" t="s">
        <v>546</v>
      </c>
      <c r="F134" s="16">
        <v>2000</v>
      </c>
      <c r="G134" s="98" t="s">
        <v>526</v>
      </c>
      <c r="H134" s="82" t="s">
        <v>799</v>
      </c>
      <c r="I134" s="16" t="s">
        <v>41</v>
      </c>
      <c r="J134" s="16" t="s">
        <v>800</v>
      </c>
      <c r="K134" s="17">
        <v>45517</v>
      </c>
      <c r="L134" s="17">
        <v>45510</v>
      </c>
      <c r="M134" s="16" t="s">
        <v>757</v>
      </c>
      <c r="N134" s="16" t="s">
        <v>257</v>
      </c>
      <c r="O134" s="16" t="s">
        <v>55</v>
      </c>
      <c r="P134" s="7"/>
    </row>
    <row r="135" spans="1:16" ht="114.75" customHeight="1">
      <c r="A135" s="16"/>
      <c r="B135" s="16">
        <v>9</v>
      </c>
      <c r="C135" s="17">
        <v>45517</v>
      </c>
      <c r="D135" s="98" t="s">
        <v>73</v>
      </c>
      <c r="E135" s="98" t="s">
        <v>547</v>
      </c>
      <c r="F135" s="31">
        <v>1000</v>
      </c>
      <c r="G135" s="98" t="s">
        <v>526</v>
      </c>
      <c r="H135" s="82" t="s">
        <v>799</v>
      </c>
      <c r="I135" s="16" t="s">
        <v>41</v>
      </c>
      <c r="J135" s="16" t="s">
        <v>800</v>
      </c>
      <c r="K135" s="17">
        <v>45517</v>
      </c>
      <c r="L135" s="17">
        <v>45510</v>
      </c>
      <c r="M135" s="16" t="s">
        <v>757</v>
      </c>
      <c r="N135" s="16" t="s">
        <v>257</v>
      </c>
      <c r="O135" s="16" t="s">
        <v>55</v>
      </c>
      <c r="P135" s="6"/>
    </row>
    <row r="136" spans="1:16" ht="97.5" customHeight="1">
      <c r="A136" s="16"/>
      <c r="B136" s="16">
        <v>10</v>
      </c>
      <c r="C136" s="17">
        <v>45517</v>
      </c>
      <c r="D136" s="95" t="s">
        <v>118</v>
      </c>
      <c r="E136" s="98" t="s">
        <v>548</v>
      </c>
      <c r="F136" s="16">
        <v>280</v>
      </c>
      <c r="G136" s="98" t="s">
        <v>801</v>
      </c>
      <c r="H136" s="82" t="s">
        <v>803</v>
      </c>
      <c r="I136" s="16" t="s">
        <v>41</v>
      </c>
      <c r="J136" s="16" t="s">
        <v>802</v>
      </c>
      <c r="K136" s="17">
        <v>45517</v>
      </c>
      <c r="L136" s="17">
        <v>45512</v>
      </c>
      <c r="M136" s="16" t="s">
        <v>647</v>
      </c>
      <c r="N136" s="16" t="s">
        <v>688</v>
      </c>
      <c r="O136" s="16" t="s">
        <v>55</v>
      </c>
      <c r="P136" s="6"/>
    </row>
    <row r="137" spans="1:16" ht="135" customHeight="1">
      <c r="A137" s="16"/>
      <c r="B137" s="16">
        <v>11</v>
      </c>
      <c r="C137" s="17">
        <v>45523</v>
      </c>
      <c r="D137" s="98" t="s">
        <v>86</v>
      </c>
      <c r="E137" s="98" t="s">
        <v>549</v>
      </c>
      <c r="F137" s="16">
        <v>500</v>
      </c>
      <c r="G137" s="98" t="s">
        <v>550</v>
      </c>
      <c r="H137" s="82" t="s">
        <v>97</v>
      </c>
      <c r="I137" s="16" t="s">
        <v>804</v>
      </c>
      <c r="J137" s="16" t="s">
        <v>805</v>
      </c>
      <c r="K137" s="17">
        <v>45512</v>
      </c>
      <c r="L137" s="17">
        <v>45511</v>
      </c>
      <c r="M137" s="16" t="s">
        <v>22</v>
      </c>
      <c r="N137" s="16" t="s">
        <v>688</v>
      </c>
      <c r="O137" s="10" t="s">
        <v>55</v>
      </c>
      <c r="P137" s="6"/>
    </row>
    <row r="138" spans="1:16" ht="96">
      <c r="A138" s="16"/>
      <c r="B138" s="16">
        <v>12</v>
      </c>
      <c r="C138" s="175">
        <v>45524</v>
      </c>
      <c r="D138" s="174" t="s">
        <v>90</v>
      </c>
      <c r="E138" s="101" t="s">
        <v>551</v>
      </c>
      <c r="F138" s="109">
        <v>342</v>
      </c>
      <c r="G138" s="102" t="s">
        <v>553</v>
      </c>
      <c r="H138" s="86" t="s">
        <v>806</v>
      </c>
      <c r="I138" s="31" t="s">
        <v>807</v>
      </c>
      <c r="J138" s="16" t="s">
        <v>808</v>
      </c>
      <c r="K138" s="16" t="s">
        <v>809</v>
      </c>
      <c r="L138" s="31"/>
      <c r="M138" s="31" t="s">
        <v>811</v>
      </c>
      <c r="N138" s="16" t="s">
        <v>688</v>
      </c>
      <c r="O138" s="16" t="s">
        <v>55</v>
      </c>
      <c r="P138" s="6"/>
    </row>
    <row r="139" spans="1:16" ht="96">
      <c r="A139" s="16"/>
      <c r="B139" s="16">
        <v>13</v>
      </c>
      <c r="C139" s="175"/>
      <c r="D139" s="174"/>
      <c r="E139" s="101" t="s">
        <v>551</v>
      </c>
      <c r="F139" s="109">
        <v>666</v>
      </c>
      <c r="G139" s="102" t="s">
        <v>554</v>
      </c>
      <c r="H139" s="82" t="s">
        <v>806</v>
      </c>
      <c r="I139" s="16" t="s">
        <v>807</v>
      </c>
      <c r="J139" s="16" t="s">
        <v>808</v>
      </c>
      <c r="K139" s="16" t="s">
        <v>809</v>
      </c>
      <c r="L139" s="31"/>
      <c r="M139" s="31" t="s">
        <v>811</v>
      </c>
      <c r="N139" s="16" t="s">
        <v>688</v>
      </c>
      <c r="O139" s="16" t="s">
        <v>55</v>
      </c>
      <c r="P139" s="6"/>
    </row>
    <row r="140" spans="1:16" ht="96">
      <c r="A140" s="16"/>
      <c r="B140" s="16">
        <v>14</v>
      </c>
      <c r="C140" s="175"/>
      <c r="D140" s="174"/>
      <c r="E140" s="101" t="s">
        <v>551</v>
      </c>
      <c r="F140" s="109">
        <v>424</v>
      </c>
      <c r="G140" s="102" t="s">
        <v>554</v>
      </c>
      <c r="H140" s="82" t="s">
        <v>806</v>
      </c>
      <c r="I140" s="16" t="s">
        <v>807</v>
      </c>
      <c r="J140" s="16" t="s">
        <v>808</v>
      </c>
      <c r="K140" s="16" t="s">
        <v>810</v>
      </c>
      <c r="L140" s="16"/>
      <c r="M140" s="16" t="s">
        <v>811</v>
      </c>
      <c r="N140" s="16" t="s">
        <v>688</v>
      </c>
      <c r="O140" s="16" t="s">
        <v>55</v>
      </c>
      <c r="P140" s="6"/>
    </row>
    <row r="141" spans="1:16" ht="96">
      <c r="A141" s="16"/>
      <c r="B141" s="16">
        <v>15</v>
      </c>
      <c r="C141" s="175"/>
      <c r="D141" s="174"/>
      <c r="E141" s="101" t="s">
        <v>552</v>
      </c>
      <c r="F141" s="109">
        <v>208</v>
      </c>
      <c r="G141" s="102" t="s">
        <v>554</v>
      </c>
      <c r="H141" s="82" t="s">
        <v>806</v>
      </c>
      <c r="I141" s="16" t="s">
        <v>807</v>
      </c>
      <c r="J141" s="16" t="s">
        <v>808</v>
      </c>
      <c r="K141" s="16" t="s">
        <v>31</v>
      </c>
      <c r="L141" s="16"/>
      <c r="M141" s="16" t="s">
        <v>811</v>
      </c>
      <c r="N141" s="16" t="s">
        <v>688</v>
      </c>
      <c r="O141" s="16" t="s">
        <v>55</v>
      </c>
      <c r="P141" s="6"/>
    </row>
    <row r="142" spans="1:16" ht="131.25" customHeight="1">
      <c r="A142" s="16"/>
      <c r="B142" s="16">
        <v>16</v>
      </c>
      <c r="C142" s="17">
        <v>45525</v>
      </c>
      <c r="D142" s="98" t="s">
        <v>80</v>
      </c>
      <c r="E142" s="98" t="s">
        <v>555</v>
      </c>
      <c r="F142" s="16">
        <v>1</v>
      </c>
      <c r="G142" s="98" t="s">
        <v>556</v>
      </c>
      <c r="H142" s="82" t="s">
        <v>813</v>
      </c>
      <c r="I142" s="16" t="s">
        <v>658</v>
      </c>
      <c r="J142" s="16" t="s">
        <v>814</v>
      </c>
      <c r="K142" s="17">
        <v>45524</v>
      </c>
      <c r="L142" s="16"/>
      <c r="M142" s="16" t="s">
        <v>812</v>
      </c>
      <c r="N142" s="16" t="s">
        <v>658</v>
      </c>
      <c r="O142" s="16" t="s">
        <v>55</v>
      </c>
      <c r="P142" s="6"/>
    </row>
    <row r="143" spans="1:16" ht="101.25" customHeight="1">
      <c r="A143" s="16"/>
      <c r="B143" s="16">
        <v>17</v>
      </c>
      <c r="C143" s="17">
        <v>45526</v>
      </c>
      <c r="D143" s="98" t="s">
        <v>29</v>
      </c>
      <c r="E143" s="98" t="s">
        <v>560</v>
      </c>
      <c r="F143" s="16">
        <v>39</v>
      </c>
      <c r="G143" s="98" t="s">
        <v>561</v>
      </c>
      <c r="H143" s="82" t="s">
        <v>815</v>
      </c>
      <c r="I143" s="16"/>
      <c r="J143" s="16" t="s">
        <v>816</v>
      </c>
      <c r="K143" s="17">
        <v>45524</v>
      </c>
      <c r="L143" s="16"/>
      <c r="M143" s="16"/>
      <c r="N143" s="16" t="s">
        <v>659</v>
      </c>
      <c r="O143" s="16" t="s">
        <v>55</v>
      </c>
      <c r="P143" s="6"/>
    </row>
    <row r="144" spans="1:16" ht="101.25" customHeight="1">
      <c r="A144" s="16"/>
      <c r="B144" s="16">
        <v>18</v>
      </c>
      <c r="C144" s="17">
        <v>45532</v>
      </c>
      <c r="D144" s="98" t="s">
        <v>557</v>
      </c>
      <c r="E144" s="98">
        <v>51</v>
      </c>
      <c r="F144" s="16"/>
      <c r="G144" s="98" t="s">
        <v>558</v>
      </c>
      <c r="H144" s="82" t="s">
        <v>817</v>
      </c>
      <c r="I144" s="16" t="s">
        <v>658</v>
      </c>
      <c r="J144" s="16" t="s">
        <v>712</v>
      </c>
      <c r="K144" s="64">
        <v>45503</v>
      </c>
      <c r="L144" s="16" t="s">
        <v>461</v>
      </c>
      <c r="M144" s="16" t="s">
        <v>33</v>
      </c>
      <c r="N144" s="16" t="s">
        <v>658</v>
      </c>
      <c r="O144" s="16" t="s">
        <v>55</v>
      </c>
      <c r="P144" s="6"/>
    </row>
    <row r="145" spans="1:16" ht="192">
      <c r="A145" s="16"/>
      <c r="B145" s="16">
        <v>19</v>
      </c>
      <c r="C145" s="17">
        <v>45534</v>
      </c>
      <c r="D145" s="98" t="s">
        <v>73</v>
      </c>
      <c r="E145" s="98" t="s">
        <v>559</v>
      </c>
      <c r="F145" s="16">
        <v>59</v>
      </c>
      <c r="G145" s="98" t="s">
        <v>388</v>
      </c>
      <c r="H145" s="82" t="s">
        <v>818</v>
      </c>
      <c r="I145" s="16" t="s">
        <v>41</v>
      </c>
      <c r="J145" s="16" t="s">
        <v>819</v>
      </c>
      <c r="K145" s="16" t="s">
        <v>669</v>
      </c>
      <c r="L145" s="16"/>
      <c r="M145" s="16"/>
      <c r="N145" s="16" t="s">
        <v>820</v>
      </c>
      <c r="O145" s="16" t="s">
        <v>55</v>
      </c>
      <c r="P145" s="6"/>
    </row>
    <row r="146" spans="1:16" ht="61.5" customHeight="1">
      <c r="A146" s="182" t="s">
        <v>20</v>
      </c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67">
        <v>19</v>
      </c>
      <c r="N146" s="167"/>
      <c r="O146" s="167"/>
      <c r="P146" s="7"/>
    </row>
    <row r="147" spans="1:16" ht="78.75" customHeight="1">
      <c r="A147" s="16"/>
      <c r="B147" s="16">
        <v>1</v>
      </c>
      <c r="C147" s="17">
        <v>45540</v>
      </c>
      <c r="D147" s="98" t="s">
        <v>79</v>
      </c>
      <c r="E147" s="98" t="s">
        <v>578</v>
      </c>
      <c r="F147" s="31" t="s">
        <v>11</v>
      </c>
      <c r="G147" s="98" t="s">
        <v>45</v>
      </c>
      <c r="H147" s="82" t="s">
        <v>821</v>
      </c>
      <c r="I147" s="16" t="s">
        <v>658</v>
      </c>
      <c r="J147" s="16" t="s">
        <v>822</v>
      </c>
      <c r="K147" s="16" t="s">
        <v>823</v>
      </c>
      <c r="L147" s="31" t="s">
        <v>11</v>
      </c>
      <c r="M147" s="31" t="s">
        <v>11</v>
      </c>
      <c r="N147" s="16" t="s">
        <v>658</v>
      </c>
      <c r="O147" s="16" t="s">
        <v>55</v>
      </c>
      <c r="P147" s="6"/>
    </row>
    <row r="148" spans="1:16" ht="78.75" customHeight="1">
      <c r="A148" s="28"/>
      <c r="B148" s="28">
        <v>2</v>
      </c>
      <c r="C148" s="57">
        <v>45540</v>
      </c>
      <c r="D148" s="96" t="s">
        <v>29</v>
      </c>
      <c r="E148" s="101" t="s">
        <v>612</v>
      </c>
      <c r="F148" s="16">
        <v>114</v>
      </c>
      <c r="G148" s="96" t="s">
        <v>611</v>
      </c>
      <c r="H148" s="87" t="s">
        <v>824</v>
      </c>
      <c r="I148" s="28" t="s">
        <v>41</v>
      </c>
      <c r="J148" s="28" t="s">
        <v>825</v>
      </c>
      <c r="K148" s="31" t="s">
        <v>11</v>
      </c>
      <c r="L148" s="31" t="s">
        <v>11</v>
      </c>
      <c r="M148" s="31" t="s">
        <v>11</v>
      </c>
      <c r="N148" s="28" t="s">
        <v>659</v>
      </c>
      <c r="O148" s="28" t="s">
        <v>55</v>
      </c>
      <c r="P148" s="6"/>
    </row>
    <row r="149" spans="1:16" ht="105" customHeight="1">
      <c r="A149" s="16"/>
      <c r="B149" s="16">
        <v>3</v>
      </c>
      <c r="C149" s="17">
        <v>45544</v>
      </c>
      <c r="D149" s="98" t="s">
        <v>53</v>
      </c>
      <c r="E149" s="98" t="s">
        <v>579</v>
      </c>
      <c r="F149" s="16">
        <v>1</v>
      </c>
      <c r="G149" s="98" t="s">
        <v>618</v>
      </c>
      <c r="H149" s="82" t="s">
        <v>826</v>
      </c>
      <c r="I149" s="31" t="s">
        <v>658</v>
      </c>
      <c r="J149" s="16" t="s">
        <v>827</v>
      </c>
      <c r="K149" s="16" t="s">
        <v>829</v>
      </c>
      <c r="L149" s="16" t="s">
        <v>828</v>
      </c>
      <c r="M149" s="16" t="s">
        <v>70</v>
      </c>
      <c r="N149" s="16" t="s">
        <v>658</v>
      </c>
      <c r="O149" s="16" t="s">
        <v>55</v>
      </c>
      <c r="P149" s="6"/>
    </row>
    <row r="150" spans="1:16" ht="113.25" customHeight="1">
      <c r="A150" s="16"/>
      <c r="B150" s="16">
        <v>4</v>
      </c>
      <c r="C150" s="17">
        <v>45546</v>
      </c>
      <c r="D150" s="98" t="s">
        <v>53</v>
      </c>
      <c r="E150" s="98" t="s">
        <v>582</v>
      </c>
      <c r="F150" s="16">
        <v>107</v>
      </c>
      <c r="G150" s="98" t="s">
        <v>583</v>
      </c>
      <c r="H150" s="82" t="s">
        <v>584</v>
      </c>
      <c r="I150" s="16" t="s">
        <v>41</v>
      </c>
      <c r="J150" s="16" t="s">
        <v>585</v>
      </c>
      <c r="K150" s="16" t="s">
        <v>580</v>
      </c>
      <c r="L150" s="16" t="s">
        <v>581</v>
      </c>
      <c r="M150" s="16"/>
      <c r="N150" s="16" t="s">
        <v>658</v>
      </c>
      <c r="O150" s="16" t="s">
        <v>55</v>
      </c>
      <c r="P150" s="6"/>
    </row>
    <row r="151" spans="1:16" ht="117" customHeight="1">
      <c r="A151" s="16"/>
      <c r="B151" s="16">
        <v>5</v>
      </c>
      <c r="C151" s="17">
        <v>45547</v>
      </c>
      <c r="D151" s="98" t="s">
        <v>29</v>
      </c>
      <c r="E151" s="98" t="s">
        <v>586</v>
      </c>
      <c r="F151" s="16">
        <v>1</v>
      </c>
      <c r="G151" s="98" t="s">
        <v>587</v>
      </c>
      <c r="H151" s="82" t="s">
        <v>813</v>
      </c>
      <c r="I151" s="16" t="s">
        <v>658</v>
      </c>
      <c r="J151" s="16" t="s">
        <v>830</v>
      </c>
      <c r="K151" s="17">
        <v>45547</v>
      </c>
      <c r="L151" s="17">
        <v>45546</v>
      </c>
      <c r="M151" s="16" t="s">
        <v>812</v>
      </c>
      <c r="N151" s="16" t="s">
        <v>658</v>
      </c>
      <c r="O151" s="16" t="s">
        <v>55</v>
      </c>
      <c r="P151" s="6"/>
    </row>
    <row r="152" spans="1:16" ht="190.5" customHeight="1">
      <c r="A152" s="16"/>
      <c r="B152" s="16">
        <v>6</v>
      </c>
      <c r="C152" s="17">
        <v>45548</v>
      </c>
      <c r="D152" s="98" t="s">
        <v>588</v>
      </c>
      <c r="E152" s="98" t="s">
        <v>589</v>
      </c>
      <c r="F152" s="16">
        <v>4100</v>
      </c>
      <c r="G152" s="98" t="s">
        <v>590</v>
      </c>
      <c r="H152" s="84" t="s">
        <v>831</v>
      </c>
      <c r="I152" s="30" t="s">
        <v>658</v>
      </c>
      <c r="J152" s="30" t="s">
        <v>832</v>
      </c>
      <c r="K152" s="16" t="s">
        <v>833</v>
      </c>
      <c r="L152" s="16" t="s">
        <v>834</v>
      </c>
      <c r="M152" s="16" t="s">
        <v>647</v>
      </c>
      <c r="N152" s="16" t="s">
        <v>658</v>
      </c>
      <c r="O152" s="16" t="s">
        <v>55</v>
      </c>
      <c r="P152" s="6"/>
    </row>
    <row r="153" spans="1:16" ht="52.5" customHeight="1">
      <c r="A153" s="28"/>
      <c r="B153" s="16">
        <v>7</v>
      </c>
      <c r="C153" s="17">
        <v>45548</v>
      </c>
      <c r="D153" s="98" t="s">
        <v>29</v>
      </c>
      <c r="E153" s="98" t="s">
        <v>591</v>
      </c>
      <c r="F153" s="16">
        <v>1</v>
      </c>
      <c r="G153" s="98" t="s">
        <v>592</v>
      </c>
      <c r="H153" s="82" t="s">
        <v>813</v>
      </c>
      <c r="I153" s="16" t="s">
        <v>658</v>
      </c>
      <c r="J153" s="16" t="s">
        <v>830</v>
      </c>
      <c r="K153" s="17">
        <v>45547</v>
      </c>
      <c r="L153" s="17">
        <v>45546</v>
      </c>
      <c r="M153" s="16" t="s">
        <v>812</v>
      </c>
      <c r="N153" s="16" t="s">
        <v>658</v>
      </c>
      <c r="O153" s="16" t="s">
        <v>55</v>
      </c>
      <c r="P153" s="6"/>
    </row>
    <row r="154" spans="1:16" ht="144">
      <c r="A154" s="30"/>
      <c r="B154" s="16">
        <v>8</v>
      </c>
      <c r="C154" s="17">
        <v>45549</v>
      </c>
      <c r="D154" s="98" t="s">
        <v>516</v>
      </c>
      <c r="E154" s="98" t="s">
        <v>475</v>
      </c>
      <c r="F154" s="16"/>
      <c r="G154" s="98" t="s">
        <v>593</v>
      </c>
      <c r="H154" s="82" t="s">
        <v>772</v>
      </c>
      <c r="I154" s="16" t="s">
        <v>658</v>
      </c>
      <c r="J154" s="16" t="s">
        <v>835</v>
      </c>
      <c r="K154" s="17">
        <v>45546</v>
      </c>
      <c r="L154" s="17">
        <v>45544</v>
      </c>
      <c r="M154" s="16" t="s">
        <v>645</v>
      </c>
      <c r="N154" s="16" t="s">
        <v>658</v>
      </c>
      <c r="O154" s="16" t="s">
        <v>55</v>
      </c>
      <c r="P154" s="6"/>
    </row>
    <row r="155" spans="1:16" ht="165.75" customHeight="1">
      <c r="A155" s="16"/>
      <c r="B155" s="16">
        <v>9</v>
      </c>
      <c r="C155" s="17">
        <v>45553</v>
      </c>
      <c r="D155" s="98" t="s">
        <v>90</v>
      </c>
      <c r="E155" s="98" t="s">
        <v>594</v>
      </c>
      <c r="F155" s="109">
        <f>720+599+153</f>
        <v>1472</v>
      </c>
      <c r="G155" s="98" t="s">
        <v>595</v>
      </c>
      <c r="H155" s="82" t="s">
        <v>836</v>
      </c>
      <c r="I155" s="16" t="s">
        <v>807</v>
      </c>
      <c r="J155" s="16" t="s">
        <v>837</v>
      </c>
      <c r="K155" s="17" t="s">
        <v>838</v>
      </c>
      <c r="L155" s="31" t="s">
        <v>11</v>
      </c>
      <c r="M155" s="16" t="s">
        <v>811</v>
      </c>
      <c r="N155" s="16" t="s">
        <v>659</v>
      </c>
      <c r="O155" s="16" t="s">
        <v>55</v>
      </c>
      <c r="P155" s="6"/>
    </row>
    <row r="156" spans="1:16" ht="165.75" customHeight="1">
      <c r="A156" s="16"/>
      <c r="B156" s="113">
        <v>10</v>
      </c>
      <c r="C156" s="169">
        <v>45558</v>
      </c>
      <c r="D156" s="151" t="s">
        <v>29</v>
      </c>
      <c r="E156" s="98" t="s">
        <v>613</v>
      </c>
      <c r="F156" s="109">
        <v>218</v>
      </c>
      <c r="G156" s="98" t="s">
        <v>616</v>
      </c>
      <c r="H156" s="134" t="s">
        <v>839</v>
      </c>
      <c r="I156" s="113" t="s">
        <v>37</v>
      </c>
      <c r="J156" s="113" t="s">
        <v>840</v>
      </c>
      <c r="K156" s="113" t="s">
        <v>669</v>
      </c>
      <c r="L156" s="113" t="s">
        <v>669</v>
      </c>
      <c r="M156" s="115" t="s">
        <v>11</v>
      </c>
      <c r="N156" s="113" t="s">
        <v>659</v>
      </c>
      <c r="O156" s="113" t="s">
        <v>55</v>
      </c>
      <c r="P156" s="6"/>
    </row>
    <row r="157" spans="1:16" ht="165.75" customHeight="1">
      <c r="A157" s="16"/>
      <c r="B157" s="116"/>
      <c r="C157" s="171"/>
      <c r="D157" s="162"/>
      <c r="E157" s="98" t="s">
        <v>612</v>
      </c>
      <c r="F157" s="109">
        <v>200</v>
      </c>
      <c r="G157" s="98" t="s">
        <v>616</v>
      </c>
      <c r="H157" s="135"/>
      <c r="I157" s="116"/>
      <c r="J157" s="116"/>
      <c r="K157" s="116"/>
      <c r="L157" s="116"/>
      <c r="M157" s="116"/>
      <c r="N157" s="116"/>
      <c r="O157" s="116"/>
      <c r="P157" s="6"/>
    </row>
    <row r="158" spans="1:16" ht="165.75" customHeight="1">
      <c r="A158" s="16"/>
      <c r="B158" s="116"/>
      <c r="C158" s="171"/>
      <c r="D158" s="162"/>
      <c r="E158" s="98" t="s">
        <v>614</v>
      </c>
      <c r="F158" s="109">
        <v>40</v>
      </c>
      <c r="G158" s="98" t="s">
        <v>616</v>
      </c>
      <c r="H158" s="135"/>
      <c r="I158" s="116"/>
      <c r="J158" s="116"/>
      <c r="K158" s="116"/>
      <c r="L158" s="116"/>
      <c r="M158" s="116"/>
      <c r="N158" s="116"/>
      <c r="O158" s="116"/>
      <c r="P158" s="6"/>
    </row>
    <row r="159" spans="1:16" ht="165.75" customHeight="1">
      <c r="A159" s="16"/>
      <c r="B159" s="114"/>
      <c r="C159" s="170"/>
      <c r="D159" s="152"/>
      <c r="E159" s="98" t="s">
        <v>615</v>
      </c>
      <c r="F159" s="109">
        <v>94</v>
      </c>
      <c r="G159" s="98" t="s">
        <v>616</v>
      </c>
      <c r="H159" s="136"/>
      <c r="I159" s="114"/>
      <c r="J159" s="114"/>
      <c r="K159" s="114"/>
      <c r="L159" s="114"/>
      <c r="M159" s="114"/>
      <c r="N159" s="114"/>
      <c r="O159" s="114"/>
      <c r="P159" s="6"/>
    </row>
    <row r="160" spans="1:16" ht="117" customHeight="1">
      <c r="A160" s="16"/>
      <c r="B160" s="16">
        <v>11</v>
      </c>
      <c r="C160" s="17">
        <v>45558</v>
      </c>
      <c r="D160" s="98" t="s">
        <v>609</v>
      </c>
      <c r="E160" s="98" t="s">
        <v>545</v>
      </c>
      <c r="F160" s="16"/>
      <c r="G160" s="98" t="s">
        <v>596</v>
      </c>
      <c r="H160" s="82" t="s">
        <v>597</v>
      </c>
      <c r="I160" s="16" t="s">
        <v>192</v>
      </c>
      <c r="J160" s="16" t="s">
        <v>841</v>
      </c>
      <c r="K160" s="17">
        <v>45558</v>
      </c>
      <c r="L160" s="17">
        <v>45556</v>
      </c>
      <c r="M160" s="16" t="s">
        <v>643</v>
      </c>
      <c r="N160" s="16" t="s">
        <v>658</v>
      </c>
      <c r="O160" s="16" t="s">
        <v>55</v>
      </c>
      <c r="P160" s="6"/>
    </row>
    <row r="161" spans="1:21" ht="123.75" customHeight="1">
      <c r="A161" s="143"/>
      <c r="B161" s="28">
        <v>12</v>
      </c>
      <c r="C161" s="176">
        <v>45560</v>
      </c>
      <c r="D161" s="184" t="s">
        <v>90</v>
      </c>
      <c r="E161" s="184" t="s">
        <v>551</v>
      </c>
      <c r="F161" s="143">
        <v>1557</v>
      </c>
      <c r="G161" s="184" t="s">
        <v>595</v>
      </c>
      <c r="H161" s="192" t="s">
        <v>836</v>
      </c>
      <c r="I161" s="143" t="s">
        <v>599</v>
      </c>
      <c r="J161" s="143" t="s">
        <v>842</v>
      </c>
      <c r="K161" s="176">
        <v>45553</v>
      </c>
      <c r="L161" s="177" t="s">
        <v>11</v>
      </c>
      <c r="M161" s="143" t="s">
        <v>811</v>
      </c>
      <c r="N161" s="113" t="s">
        <v>659</v>
      </c>
      <c r="O161" s="113" t="s">
        <v>55</v>
      </c>
      <c r="P161" s="6"/>
    </row>
    <row r="162" spans="1:21" ht="60.75" customHeight="1">
      <c r="A162" s="144"/>
      <c r="B162" s="30"/>
      <c r="C162" s="183"/>
      <c r="D162" s="185"/>
      <c r="E162" s="185"/>
      <c r="F162" s="144"/>
      <c r="G162" s="185"/>
      <c r="H162" s="193"/>
      <c r="I162" s="144"/>
      <c r="J162" s="144"/>
      <c r="K162" s="144"/>
      <c r="L162" s="144"/>
      <c r="M162" s="144"/>
      <c r="N162" s="114"/>
      <c r="O162" s="114"/>
      <c r="P162" s="6"/>
    </row>
    <row r="163" spans="1:21" ht="213" customHeight="1">
      <c r="A163" s="30"/>
      <c r="B163" s="30">
        <v>13</v>
      </c>
      <c r="C163" s="32">
        <v>45562</v>
      </c>
      <c r="D163" s="95" t="s">
        <v>118</v>
      </c>
      <c r="E163" s="98" t="s">
        <v>601</v>
      </c>
      <c r="F163" s="16">
        <v>1000</v>
      </c>
      <c r="G163" s="97" t="s">
        <v>602</v>
      </c>
      <c r="H163" s="84" t="s">
        <v>603</v>
      </c>
      <c r="I163" s="30" t="s">
        <v>41</v>
      </c>
      <c r="J163" s="30" t="s">
        <v>843</v>
      </c>
      <c r="K163" s="32">
        <v>45562</v>
      </c>
      <c r="L163" s="17">
        <v>45560</v>
      </c>
      <c r="M163" s="16" t="s">
        <v>844</v>
      </c>
      <c r="N163" s="16" t="s">
        <v>659</v>
      </c>
      <c r="O163" s="16" t="s">
        <v>55</v>
      </c>
      <c r="P163" s="6"/>
    </row>
    <row r="164" spans="1:21" ht="192" customHeight="1">
      <c r="A164" s="28"/>
      <c r="B164" s="28">
        <v>14</v>
      </c>
      <c r="C164" s="57">
        <v>45563</v>
      </c>
      <c r="D164" s="96" t="s">
        <v>516</v>
      </c>
      <c r="E164" s="96" t="s">
        <v>475</v>
      </c>
      <c r="F164" s="28"/>
      <c r="G164" s="98" t="s">
        <v>619</v>
      </c>
      <c r="H164" s="82" t="s">
        <v>617</v>
      </c>
      <c r="I164" s="16" t="s">
        <v>136</v>
      </c>
      <c r="J164" s="16" t="s">
        <v>136</v>
      </c>
      <c r="K164" s="64">
        <v>45503</v>
      </c>
      <c r="L164" s="16" t="s">
        <v>461</v>
      </c>
      <c r="M164" s="16" t="s">
        <v>33</v>
      </c>
      <c r="N164" s="16" t="s">
        <v>658</v>
      </c>
      <c r="O164" s="16" t="s">
        <v>55</v>
      </c>
      <c r="P164" s="6"/>
    </row>
    <row r="165" spans="1:21" ht="61.5" customHeight="1">
      <c r="A165" s="189" t="s">
        <v>20</v>
      </c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1"/>
      <c r="M165" s="186">
        <v>14</v>
      </c>
      <c r="N165" s="187"/>
      <c r="O165" s="188"/>
      <c r="P165" s="7"/>
    </row>
    <row r="166" spans="1:21" ht="192" customHeight="1">
      <c r="A166" s="10"/>
      <c r="B166" s="10">
        <v>1</v>
      </c>
      <c r="C166" s="11">
        <v>45566</v>
      </c>
      <c r="D166" s="93" t="s">
        <v>609</v>
      </c>
      <c r="E166" s="98" t="s">
        <v>545</v>
      </c>
      <c r="F166" s="10">
        <v>1</v>
      </c>
      <c r="G166" s="93" t="s">
        <v>48</v>
      </c>
      <c r="H166" s="88" t="s">
        <v>845</v>
      </c>
      <c r="I166" s="10"/>
      <c r="J166" s="10"/>
      <c r="K166" s="11">
        <v>45561</v>
      </c>
      <c r="L166" s="11">
        <v>45560</v>
      </c>
      <c r="M166" s="10"/>
      <c r="N166" s="10" t="s">
        <v>658</v>
      </c>
      <c r="O166" s="10" t="s">
        <v>846</v>
      </c>
      <c r="P166" s="6"/>
    </row>
    <row r="167" spans="1:21" ht="144">
      <c r="A167" s="113"/>
      <c r="B167" s="10">
        <v>1</v>
      </c>
      <c r="C167" s="17">
        <v>45573</v>
      </c>
      <c r="D167" s="98" t="s">
        <v>847</v>
      </c>
      <c r="E167" s="98" t="s">
        <v>848</v>
      </c>
      <c r="F167" s="16">
        <v>140</v>
      </c>
      <c r="G167" s="98" t="s">
        <v>849</v>
      </c>
      <c r="H167" s="86" t="s">
        <v>584</v>
      </c>
      <c r="I167" s="31" t="s">
        <v>37</v>
      </c>
      <c r="J167" s="16" t="s">
        <v>850</v>
      </c>
      <c r="K167" s="17">
        <v>45558</v>
      </c>
      <c r="L167" s="16"/>
      <c r="M167" s="16"/>
      <c r="N167" s="16" t="s">
        <v>659</v>
      </c>
      <c r="O167" s="16" t="s">
        <v>846</v>
      </c>
      <c r="P167" s="6"/>
    </row>
    <row r="168" spans="1:21" ht="404.25" customHeight="1">
      <c r="A168" s="114"/>
      <c r="B168" s="10">
        <v>2</v>
      </c>
      <c r="C168" s="17">
        <v>45574</v>
      </c>
      <c r="D168" s="98" t="s">
        <v>86</v>
      </c>
      <c r="E168" s="98" t="s">
        <v>851</v>
      </c>
      <c r="F168" s="16">
        <v>622</v>
      </c>
      <c r="G168" s="98" t="s">
        <v>595</v>
      </c>
      <c r="H168" s="82"/>
      <c r="I168" s="16"/>
      <c r="J168" s="16"/>
      <c r="K168" s="17">
        <v>45562</v>
      </c>
      <c r="L168" s="16"/>
      <c r="M168" s="16"/>
      <c r="N168" s="16" t="s">
        <v>863</v>
      </c>
      <c r="O168" s="16" t="s">
        <v>846</v>
      </c>
      <c r="P168" s="6"/>
    </row>
    <row r="169" spans="1:21" ht="404.25" customHeight="1">
      <c r="A169" s="50"/>
      <c r="B169" s="48">
        <v>3</v>
      </c>
      <c r="C169" s="57">
        <v>45577</v>
      </c>
      <c r="D169" s="96" t="s">
        <v>73</v>
      </c>
      <c r="E169" s="98" t="s">
        <v>882</v>
      </c>
      <c r="F169" s="16">
        <v>500</v>
      </c>
      <c r="G169" s="96" t="s">
        <v>883</v>
      </c>
      <c r="H169" s="87" t="s">
        <v>884</v>
      </c>
      <c r="I169" s="28"/>
      <c r="J169" s="28"/>
      <c r="K169" s="46">
        <v>45577</v>
      </c>
      <c r="L169" s="16"/>
      <c r="M169" s="16"/>
      <c r="N169" s="16"/>
      <c r="O169" s="16"/>
      <c r="P169" s="6"/>
    </row>
    <row r="170" spans="1:21" ht="240" customHeight="1">
      <c r="A170" s="20"/>
      <c r="B170" s="48">
        <v>4</v>
      </c>
      <c r="C170" s="57">
        <v>45579</v>
      </c>
      <c r="D170" s="96" t="s">
        <v>73</v>
      </c>
      <c r="E170" s="93" t="s">
        <v>59</v>
      </c>
      <c r="F170" s="10">
        <v>69</v>
      </c>
      <c r="G170" s="96" t="s">
        <v>567</v>
      </c>
      <c r="H170" s="87" t="s">
        <v>855</v>
      </c>
      <c r="I170" s="28"/>
      <c r="J170" s="28"/>
      <c r="K170" s="11" t="s">
        <v>874</v>
      </c>
      <c r="L170" s="10"/>
      <c r="M170" s="10"/>
      <c r="N170" s="10"/>
      <c r="O170" s="10"/>
      <c r="P170" s="6"/>
    </row>
    <row r="171" spans="1:21" ht="240" customHeight="1">
      <c r="A171" s="20"/>
      <c r="B171" s="49">
        <v>5</v>
      </c>
      <c r="C171" s="70">
        <v>45580</v>
      </c>
      <c r="D171" s="100" t="s">
        <v>90</v>
      </c>
      <c r="E171" s="93" t="s">
        <v>854</v>
      </c>
      <c r="F171" s="10"/>
      <c r="G171" s="97" t="s">
        <v>60</v>
      </c>
      <c r="H171" s="84"/>
      <c r="I171" s="30"/>
      <c r="J171" s="30"/>
      <c r="K171" s="77" t="s">
        <v>876</v>
      </c>
      <c r="L171" s="10" t="s">
        <v>875</v>
      </c>
      <c r="M171" s="10"/>
      <c r="N171" s="10"/>
      <c r="O171" s="10"/>
      <c r="P171" s="6"/>
    </row>
    <row r="172" spans="1:21" ht="240" customHeight="1">
      <c r="A172" s="20"/>
      <c r="B172" s="50">
        <v>6</v>
      </c>
      <c r="C172" s="32">
        <v>45581</v>
      </c>
      <c r="D172" s="97" t="s">
        <v>133</v>
      </c>
      <c r="E172" s="93" t="s">
        <v>859</v>
      </c>
      <c r="F172" s="10"/>
      <c r="G172" s="93" t="s">
        <v>889</v>
      </c>
      <c r="H172" s="82"/>
      <c r="I172" s="16"/>
      <c r="J172" s="16"/>
      <c r="K172" s="11" t="s">
        <v>858</v>
      </c>
      <c r="L172" s="10"/>
      <c r="M172" s="10"/>
      <c r="N172" s="10"/>
      <c r="O172" s="10"/>
      <c r="P172" s="6"/>
    </row>
    <row r="173" spans="1:21" ht="240" customHeight="1">
      <c r="A173" s="20"/>
      <c r="B173" s="50">
        <v>7</v>
      </c>
      <c r="C173" s="32">
        <v>45582</v>
      </c>
      <c r="D173" s="97" t="s">
        <v>81</v>
      </c>
      <c r="E173" s="93" t="s">
        <v>860</v>
      </c>
      <c r="F173" s="10">
        <v>1</v>
      </c>
      <c r="G173" s="95" t="s">
        <v>861</v>
      </c>
      <c r="H173" s="82" t="s">
        <v>862</v>
      </c>
      <c r="I173" s="16" t="s">
        <v>37</v>
      </c>
      <c r="J173" s="16"/>
      <c r="K173" s="77" t="s">
        <v>878</v>
      </c>
      <c r="L173" s="10" t="s">
        <v>877</v>
      </c>
      <c r="M173" s="10" t="s">
        <v>904</v>
      </c>
      <c r="N173" s="10"/>
      <c r="O173" s="10"/>
      <c r="P173" s="6"/>
    </row>
    <row r="174" spans="1:21" ht="240" customHeight="1">
      <c r="A174" s="20"/>
      <c r="B174" s="50">
        <v>8</v>
      </c>
      <c r="C174" s="32">
        <v>45584</v>
      </c>
      <c r="D174" s="97" t="s">
        <v>557</v>
      </c>
      <c r="E174" s="93" t="s">
        <v>864</v>
      </c>
      <c r="F174" s="10"/>
      <c r="G174" s="95" t="s">
        <v>865</v>
      </c>
      <c r="H174" s="82"/>
      <c r="I174" s="16"/>
      <c r="J174" s="16"/>
      <c r="K174" s="77" t="s">
        <v>880</v>
      </c>
      <c r="L174" s="10"/>
      <c r="M174" s="10"/>
      <c r="N174" s="10"/>
      <c r="O174" s="10"/>
      <c r="P174" s="6"/>
    </row>
    <row r="175" spans="1:21" ht="240" customHeight="1">
      <c r="A175" s="20"/>
      <c r="B175" s="50">
        <v>9</v>
      </c>
      <c r="C175" s="32">
        <v>45587</v>
      </c>
      <c r="D175" s="97" t="s">
        <v>557</v>
      </c>
      <c r="E175" s="93" t="s">
        <v>866</v>
      </c>
      <c r="F175" s="10"/>
      <c r="G175" s="95" t="s">
        <v>867</v>
      </c>
      <c r="H175" s="82"/>
      <c r="I175" s="16"/>
      <c r="J175" s="16"/>
      <c r="K175" s="77" t="s">
        <v>880</v>
      </c>
      <c r="L175" s="10"/>
      <c r="M175" s="10"/>
      <c r="N175" s="10"/>
      <c r="O175" s="10"/>
      <c r="P175" s="6"/>
      <c r="Q175" s="9" t="s">
        <v>892</v>
      </c>
    </row>
    <row r="176" spans="1:21" ht="240" customHeight="1">
      <c r="A176" s="20"/>
      <c r="B176" s="50">
        <v>10</v>
      </c>
      <c r="C176" s="32">
        <v>45588</v>
      </c>
      <c r="D176" s="97" t="s">
        <v>29</v>
      </c>
      <c r="E176" s="93" t="s">
        <v>612</v>
      </c>
      <c r="F176" s="10"/>
      <c r="G176" s="95" t="s">
        <v>19</v>
      </c>
      <c r="H176" s="82" t="s">
        <v>871</v>
      </c>
      <c r="I176" s="16"/>
      <c r="J176" s="16"/>
      <c r="K176" s="11"/>
      <c r="L176" s="10"/>
      <c r="M176" s="10"/>
      <c r="N176" s="10"/>
      <c r="O176" s="10"/>
      <c r="P176" s="6"/>
      <c r="Q176" s="22" t="s">
        <v>76</v>
      </c>
      <c r="R176" s="22" t="s">
        <v>893</v>
      </c>
      <c r="S176" s="22"/>
      <c r="T176" s="22"/>
      <c r="U176" s="22"/>
    </row>
    <row r="177" spans="1:21" ht="240" customHeight="1">
      <c r="A177" s="20"/>
      <c r="B177" s="50">
        <v>11</v>
      </c>
      <c r="C177" s="32">
        <v>45593</v>
      </c>
      <c r="D177" s="97" t="s">
        <v>576</v>
      </c>
      <c r="E177" s="93" t="s">
        <v>872</v>
      </c>
      <c r="F177" s="10"/>
      <c r="G177" s="95" t="s">
        <v>873</v>
      </c>
      <c r="H177" s="82"/>
      <c r="I177" s="16"/>
      <c r="J177" s="16"/>
      <c r="K177" s="77" t="s">
        <v>879</v>
      </c>
      <c r="L177" s="10"/>
      <c r="M177" s="10"/>
      <c r="N177" s="10"/>
      <c r="O177" s="10"/>
      <c r="P177" s="6"/>
      <c r="Q177" s="22" t="s">
        <v>894</v>
      </c>
      <c r="R177" s="22">
        <v>26</v>
      </c>
      <c r="S177" s="22"/>
      <c r="T177" s="22"/>
      <c r="U177" s="22"/>
    </row>
    <row r="178" spans="1:21" ht="61.5" customHeight="1">
      <c r="A178" s="110" t="s">
        <v>8</v>
      </c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2"/>
      <c r="N178" s="66"/>
      <c r="O178" s="35">
        <v>11</v>
      </c>
      <c r="P178" s="7"/>
      <c r="Q178" s="22" t="s">
        <v>895</v>
      </c>
      <c r="R178" s="22">
        <v>5</v>
      </c>
      <c r="S178" s="22"/>
      <c r="T178" s="22"/>
      <c r="U178" s="22"/>
    </row>
    <row r="179" spans="1:21" ht="240" customHeight="1">
      <c r="A179" s="20"/>
      <c r="B179" s="50">
        <v>1</v>
      </c>
      <c r="C179" s="32">
        <v>45601</v>
      </c>
      <c r="D179" s="97" t="s">
        <v>81</v>
      </c>
      <c r="E179" s="93" t="s">
        <v>881</v>
      </c>
      <c r="F179" s="10">
        <v>150</v>
      </c>
      <c r="G179" s="103" t="s">
        <v>62</v>
      </c>
      <c r="H179" s="82"/>
      <c r="I179" s="16"/>
      <c r="J179" s="16"/>
      <c r="K179" s="11">
        <v>45601</v>
      </c>
      <c r="L179" s="10"/>
      <c r="M179" s="10"/>
      <c r="N179" s="10" t="s">
        <v>949</v>
      </c>
      <c r="O179" s="10" t="s">
        <v>820</v>
      </c>
      <c r="P179" s="6"/>
      <c r="Q179" s="22" t="s">
        <v>896</v>
      </c>
      <c r="R179" s="22">
        <v>13</v>
      </c>
      <c r="S179" s="22"/>
      <c r="T179" s="22"/>
      <c r="U179" s="22"/>
    </row>
    <row r="180" spans="1:21" ht="240" customHeight="1">
      <c r="A180" s="20"/>
      <c r="B180" s="50">
        <v>2</v>
      </c>
      <c r="C180" s="32">
        <v>45602</v>
      </c>
      <c r="D180" s="97" t="s">
        <v>81</v>
      </c>
      <c r="E180" s="93" t="s">
        <v>885</v>
      </c>
      <c r="F180" s="10">
        <v>150</v>
      </c>
      <c r="G180" s="103" t="s">
        <v>886</v>
      </c>
      <c r="H180" s="82"/>
      <c r="I180" s="16"/>
      <c r="J180" s="16"/>
      <c r="K180" s="11">
        <v>45602</v>
      </c>
      <c r="L180" s="10"/>
      <c r="M180" s="10"/>
      <c r="N180" s="10" t="s">
        <v>949</v>
      </c>
      <c r="O180" s="10" t="s">
        <v>820</v>
      </c>
      <c r="P180" s="6"/>
      <c r="Q180" s="22" t="s">
        <v>897</v>
      </c>
      <c r="R180" s="22">
        <v>2</v>
      </c>
      <c r="S180" s="22"/>
      <c r="T180" s="22"/>
      <c r="U180" s="22"/>
    </row>
    <row r="181" spans="1:21" ht="240" customHeight="1">
      <c r="A181" s="20"/>
      <c r="B181" s="50">
        <v>3</v>
      </c>
      <c r="C181" s="32">
        <v>45603</v>
      </c>
      <c r="D181" s="93" t="s">
        <v>232</v>
      </c>
      <c r="E181" s="93" t="s">
        <v>917</v>
      </c>
      <c r="F181" s="10">
        <v>300</v>
      </c>
      <c r="G181" s="104" t="s">
        <v>918</v>
      </c>
      <c r="H181" s="82" t="s">
        <v>919</v>
      </c>
      <c r="I181" s="16" t="s">
        <v>44</v>
      </c>
      <c r="J181" s="16" t="s">
        <v>920</v>
      </c>
      <c r="K181" s="14" t="s">
        <v>921</v>
      </c>
      <c r="L181" s="10"/>
      <c r="M181" s="10"/>
      <c r="N181" s="10"/>
      <c r="O181" s="10"/>
      <c r="P181" s="6"/>
      <c r="Q181" s="22" t="s">
        <v>897</v>
      </c>
      <c r="R181" s="22">
        <v>2</v>
      </c>
      <c r="S181" s="22"/>
      <c r="T181" s="22"/>
      <c r="U181" s="22"/>
    </row>
    <row r="182" spans="1:21" ht="240" customHeight="1">
      <c r="A182" s="20"/>
      <c r="B182" s="50">
        <v>4</v>
      </c>
      <c r="C182" s="32">
        <v>45607</v>
      </c>
      <c r="D182" s="105" t="s">
        <v>81</v>
      </c>
      <c r="E182" s="93" t="s">
        <v>885</v>
      </c>
      <c r="F182" s="10">
        <v>150</v>
      </c>
      <c r="G182" s="104" t="s">
        <v>886</v>
      </c>
      <c r="H182" s="82"/>
      <c r="I182" s="16"/>
      <c r="J182" s="16"/>
      <c r="K182" s="32">
        <v>45606</v>
      </c>
      <c r="L182" s="10"/>
      <c r="M182" s="10"/>
      <c r="N182" s="10" t="s">
        <v>949</v>
      </c>
      <c r="O182" s="10" t="s">
        <v>820</v>
      </c>
      <c r="P182" s="6"/>
      <c r="Q182" s="22" t="s">
        <v>897</v>
      </c>
      <c r="R182" s="22">
        <v>2</v>
      </c>
      <c r="S182" s="22"/>
      <c r="T182" s="22"/>
      <c r="U182" s="22"/>
    </row>
    <row r="183" spans="1:21" ht="240" customHeight="1">
      <c r="A183" s="20"/>
      <c r="B183" s="50">
        <v>5</v>
      </c>
      <c r="C183" s="32">
        <v>45608</v>
      </c>
      <c r="D183" s="105" t="s">
        <v>73</v>
      </c>
      <c r="E183" s="93" t="s">
        <v>59</v>
      </c>
      <c r="F183" s="10" t="s">
        <v>909</v>
      </c>
      <c r="G183" s="104" t="s">
        <v>946</v>
      </c>
      <c r="H183" s="82" t="s">
        <v>910</v>
      </c>
      <c r="I183" s="16" t="s">
        <v>44</v>
      </c>
      <c r="J183" s="16" t="s">
        <v>911</v>
      </c>
      <c r="K183" s="32" t="s">
        <v>912</v>
      </c>
      <c r="L183" s="10"/>
      <c r="M183" s="10" t="s">
        <v>49</v>
      </c>
      <c r="N183" s="10" t="s">
        <v>949</v>
      </c>
      <c r="O183" s="10" t="s">
        <v>820</v>
      </c>
      <c r="P183" s="6"/>
      <c r="Q183" s="22" t="s">
        <v>898</v>
      </c>
      <c r="R183" s="22">
        <v>20</v>
      </c>
      <c r="S183" s="22"/>
      <c r="T183" s="22"/>
      <c r="U183" s="22"/>
    </row>
    <row r="184" spans="1:21" ht="240" customHeight="1">
      <c r="A184" s="20"/>
      <c r="B184" s="50">
        <v>6</v>
      </c>
      <c r="C184" s="32">
        <v>45608</v>
      </c>
      <c r="D184" s="97" t="s">
        <v>118</v>
      </c>
      <c r="E184" s="93" t="s">
        <v>913</v>
      </c>
      <c r="F184" s="10">
        <f>39*20</f>
        <v>780</v>
      </c>
      <c r="G184" s="104" t="s">
        <v>300</v>
      </c>
      <c r="H184" s="82" t="s">
        <v>914</v>
      </c>
      <c r="I184" s="16" t="s">
        <v>37</v>
      </c>
      <c r="J184" s="16" t="s">
        <v>915</v>
      </c>
      <c r="K184" s="32">
        <v>45608</v>
      </c>
      <c r="L184" s="10"/>
      <c r="M184" s="10" t="s">
        <v>675</v>
      </c>
      <c r="N184" s="10" t="s">
        <v>916</v>
      </c>
      <c r="O184" s="10" t="s">
        <v>820</v>
      </c>
      <c r="P184" s="6"/>
      <c r="Q184" s="22" t="s">
        <v>899</v>
      </c>
      <c r="R184" s="22">
        <v>6</v>
      </c>
      <c r="S184" s="22"/>
      <c r="T184" s="22"/>
      <c r="U184" s="22"/>
    </row>
    <row r="185" spans="1:21" ht="240" customHeight="1">
      <c r="A185" s="20"/>
      <c r="B185" s="50">
        <v>7</v>
      </c>
      <c r="C185" s="32">
        <v>45609</v>
      </c>
      <c r="D185" s="105" t="s">
        <v>81</v>
      </c>
      <c r="E185" s="93" t="s">
        <v>950</v>
      </c>
      <c r="F185" s="10">
        <v>1</v>
      </c>
      <c r="G185" s="104" t="s">
        <v>922</v>
      </c>
      <c r="H185" s="82" t="s">
        <v>718</v>
      </c>
      <c r="I185" s="16" t="s">
        <v>924</v>
      </c>
      <c r="J185" s="16" t="s">
        <v>923</v>
      </c>
      <c r="K185" s="32">
        <v>45607</v>
      </c>
      <c r="L185" s="11">
        <v>45597</v>
      </c>
      <c r="M185" s="10"/>
      <c r="N185" s="10" t="s">
        <v>951</v>
      </c>
      <c r="O185" s="10"/>
      <c r="P185" s="6"/>
      <c r="Q185" s="22" t="s">
        <v>900</v>
      </c>
      <c r="R185" s="22">
        <v>18</v>
      </c>
      <c r="S185" s="22"/>
      <c r="T185" s="22"/>
      <c r="U185" s="22"/>
    </row>
    <row r="186" spans="1:21" ht="240" customHeight="1">
      <c r="A186" s="20"/>
      <c r="B186" s="50">
        <v>8</v>
      </c>
      <c r="C186" s="32">
        <v>45609</v>
      </c>
      <c r="D186" s="105" t="s">
        <v>516</v>
      </c>
      <c r="E186" s="93" t="s">
        <v>475</v>
      </c>
      <c r="F186" s="10" t="s">
        <v>928</v>
      </c>
      <c r="G186" s="104" t="s">
        <v>865</v>
      </c>
      <c r="H186" s="82"/>
      <c r="I186" s="16"/>
      <c r="J186" s="16"/>
      <c r="K186" s="32">
        <v>45616</v>
      </c>
      <c r="L186" s="10"/>
      <c r="M186" s="10"/>
      <c r="N186" s="10" t="s">
        <v>951</v>
      </c>
      <c r="O186" s="10"/>
      <c r="P186" s="6"/>
      <c r="Q186" s="22" t="s">
        <v>901</v>
      </c>
      <c r="R186" s="22">
        <v>19</v>
      </c>
      <c r="S186" s="22"/>
      <c r="T186" s="22"/>
      <c r="U186" s="22"/>
    </row>
    <row r="187" spans="1:21" ht="240" customHeight="1">
      <c r="A187" s="20"/>
      <c r="B187" s="50">
        <v>9</v>
      </c>
      <c r="C187" s="32">
        <v>45611</v>
      </c>
      <c r="D187" s="105" t="s">
        <v>541</v>
      </c>
      <c r="E187" s="93" t="s">
        <v>925</v>
      </c>
      <c r="F187" s="10" t="s">
        <v>926</v>
      </c>
      <c r="G187" s="104" t="s">
        <v>927</v>
      </c>
      <c r="H187" s="82" t="s">
        <v>929</v>
      </c>
      <c r="I187" s="16" t="s">
        <v>930</v>
      </c>
      <c r="J187" s="16" t="s">
        <v>931</v>
      </c>
      <c r="K187" s="32" t="s">
        <v>932</v>
      </c>
      <c r="L187" s="10" t="s">
        <v>933</v>
      </c>
      <c r="M187" s="10"/>
      <c r="N187" s="10"/>
      <c r="O187" s="10"/>
      <c r="P187" s="6"/>
      <c r="Q187" s="22" t="s">
        <v>902</v>
      </c>
      <c r="R187" s="22">
        <v>14</v>
      </c>
      <c r="S187" s="22"/>
      <c r="T187" s="22"/>
      <c r="U187" s="22"/>
    </row>
    <row r="188" spans="1:21" ht="240" customHeight="1">
      <c r="A188" s="20"/>
      <c r="B188" s="50">
        <v>10</v>
      </c>
      <c r="C188" s="32">
        <v>45617</v>
      </c>
      <c r="D188" s="105" t="s">
        <v>934</v>
      </c>
      <c r="E188" s="93" t="s">
        <v>475</v>
      </c>
      <c r="F188" s="10" t="s">
        <v>935</v>
      </c>
      <c r="G188" s="104" t="s">
        <v>936</v>
      </c>
      <c r="H188" s="82"/>
      <c r="I188" s="16"/>
      <c r="J188" s="16"/>
      <c r="K188" s="32">
        <v>45616</v>
      </c>
      <c r="L188" s="10"/>
      <c r="M188" s="10"/>
      <c r="N188" s="10" t="s">
        <v>951</v>
      </c>
      <c r="O188" s="10"/>
      <c r="P188" s="6"/>
      <c r="Q188" s="22" t="s">
        <v>903</v>
      </c>
      <c r="R188" s="22">
        <v>11</v>
      </c>
      <c r="S188" s="22"/>
      <c r="T188" s="22"/>
      <c r="U188" s="22"/>
    </row>
    <row r="189" spans="1:21" ht="240" customHeight="1">
      <c r="A189" s="20"/>
      <c r="B189" s="50">
        <v>11</v>
      </c>
      <c r="C189" s="32">
        <v>45621</v>
      </c>
      <c r="D189" s="105" t="s">
        <v>73</v>
      </c>
      <c r="E189" s="93" t="s">
        <v>938</v>
      </c>
      <c r="F189" s="10" t="s">
        <v>939</v>
      </c>
      <c r="G189" s="104" t="s">
        <v>940</v>
      </c>
      <c r="H189" s="82" t="s">
        <v>942</v>
      </c>
      <c r="I189" s="16" t="s">
        <v>941</v>
      </c>
      <c r="J189" s="16"/>
      <c r="K189" s="32">
        <v>45621</v>
      </c>
      <c r="L189" s="10"/>
      <c r="M189" s="10"/>
      <c r="N189" s="10" t="s">
        <v>951</v>
      </c>
      <c r="O189" s="10"/>
      <c r="P189" s="6"/>
      <c r="Q189" s="22" t="s">
        <v>952</v>
      </c>
      <c r="R189" s="22">
        <v>12</v>
      </c>
      <c r="S189" s="22"/>
      <c r="T189" s="22"/>
      <c r="U189" s="22"/>
    </row>
    <row r="190" spans="1:21" ht="240" customHeight="1">
      <c r="A190" s="20"/>
      <c r="B190" s="50">
        <v>12</v>
      </c>
      <c r="C190" s="32">
        <v>45625</v>
      </c>
      <c r="D190" s="105" t="s">
        <v>73</v>
      </c>
      <c r="E190" s="93" t="s">
        <v>38</v>
      </c>
      <c r="F190" s="10" t="s">
        <v>943</v>
      </c>
      <c r="G190" s="104" t="s">
        <v>77</v>
      </c>
      <c r="H190" s="82" t="s">
        <v>944</v>
      </c>
      <c r="I190" s="16"/>
      <c r="J190" s="16"/>
      <c r="K190" s="11">
        <v>45625</v>
      </c>
      <c r="L190" s="10"/>
      <c r="M190" s="10"/>
      <c r="N190" s="10" t="s">
        <v>951</v>
      </c>
      <c r="O190" s="10"/>
      <c r="P190" s="6"/>
      <c r="Q190" s="22" t="s">
        <v>987</v>
      </c>
      <c r="R190" s="22">
        <v>16</v>
      </c>
      <c r="S190" s="22"/>
      <c r="T190" s="22"/>
      <c r="U190" s="22"/>
    </row>
    <row r="191" spans="1:21" ht="61.5" customHeight="1">
      <c r="A191" s="110" t="s">
        <v>8</v>
      </c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2"/>
      <c r="N191" s="66"/>
      <c r="O191" s="35">
        <v>12</v>
      </c>
      <c r="P191" s="7"/>
      <c r="Q191" s="22"/>
      <c r="R191" s="22"/>
      <c r="S191" s="22"/>
      <c r="T191" s="22"/>
      <c r="U191" s="22"/>
    </row>
    <row r="192" spans="1:21" ht="240" customHeight="1">
      <c r="A192" s="20"/>
      <c r="B192" s="50">
        <v>1</v>
      </c>
      <c r="C192" s="32">
        <v>45995</v>
      </c>
      <c r="D192" s="97" t="s">
        <v>516</v>
      </c>
      <c r="E192" s="93" t="s">
        <v>997</v>
      </c>
      <c r="F192" s="10">
        <v>7</v>
      </c>
      <c r="G192" s="103" t="s">
        <v>60</v>
      </c>
      <c r="H192" s="82"/>
      <c r="I192" s="16"/>
      <c r="J192" s="16"/>
      <c r="K192" s="11" t="s">
        <v>995</v>
      </c>
      <c r="L192" s="10"/>
      <c r="M192" s="10"/>
      <c r="N192" s="10" t="s">
        <v>998</v>
      </c>
      <c r="O192" s="10"/>
      <c r="P192" s="6"/>
      <c r="Q192" s="22"/>
      <c r="R192" s="22"/>
      <c r="S192" s="22"/>
      <c r="T192" s="22"/>
      <c r="U192" s="22"/>
    </row>
    <row r="193" spans="1:21" ht="240" customHeight="1">
      <c r="A193" s="20"/>
      <c r="B193" s="50">
        <v>2</v>
      </c>
      <c r="C193" s="32">
        <v>45631</v>
      </c>
      <c r="D193" s="97" t="s">
        <v>81</v>
      </c>
      <c r="E193" s="93" t="s">
        <v>981</v>
      </c>
      <c r="F193" s="10">
        <v>2</v>
      </c>
      <c r="G193" s="103" t="s">
        <v>28</v>
      </c>
      <c r="H193" s="82"/>
      <c r="I193" s="16"/>
      <c r="J193" s="16"/>
      <c r="K193" s="77">
        <v>45994</v>
      </c>
      <c r="L193" s="10"/>
      <c r="M193" s="10" t="s">
        <v>999</v>
      </c>
      <c r="N193" s="10" t="s">
        <v>983</v>
      </c>
      <c r="O193" s="10"/>
      <c r="P193" s="6"/>
      <c r="Q193" s="22"/>
      <c r="R193" s="22"/>
      <c r="S193" s="22"/>
      <c r="T193" s="22"/>
      <c r="U193" s="22"/>
    </row>
    <row r="194" spans="1:21" ht="240" customHeight="1">
      <c r="A194" s="20"/>
      <c r="B194" s="50">
        <v>3</v>
      </c>
      <c r="C194" s="32">
        <v>45631</v>
      </c>
      <c r="D194" s="105" t="s">
        <v>955</v>
      </c>
      <c r="E194" s="93"/>
      <c r="F194" s="10">
        <v>810</v>
      </c>
      <c r="G194" s="103" t="s">
        <v>956</v>
      </c>
      <c r="H194" s="82"/>
      <c r="I194" s="16"/>
      <c r="J194" s="16"/>
      <c r="K194" s="11" t="s">
        <v>995</v>
      </c>
      <c r="L194" s="10"/>
      <c r="M194" s="10"/>
      <c r="N194" s="10"/>
      <c r="O194" s="10"/>
      <c r="P194" s="6"/>
      <c r="Q194" s="22"/>
      <c r="R194" s="22"/>
      <c r="S194" s="22"/>
      <c r="T194" s="22"/>
      <c r="U194" s="22"/>
    </row>
    <row r="195" spans="1:21" ht="240" customHeight="1">
      <c r="A195" s="20"/>
      <c r="B195" s="50">
        <v>4</v>
      </c>
      <c r="C195" s="32">
        <v>45631</v>
      </c>
      <c r="D195" s="105" t="s">
        <v>955</v>
      </c>
      <c r="E195" s="93"/>
      <c r="F195" s="10">
        <v>20</v>
      </c>
      <c r="G195" s="103" t="s">
        <v>957</v>
      </c>
      <c r="H195" s="82"/>
      <c r="I195" s="16"/>
      <c r="J195" s="16"/>
      <c r="K195" s="11" t="s">
        <v>995</v>
      </c>
      <c r="L195" s="10"/>
      <c r="M195" s="10"/>
      <c r="N195" s="10"/>
      <c r="O195" s="10"/>
      <c r="P195" s="6"/>
      <c r="Q195" s="22"/>
      <c r="R195" s="22"/>
      <c r="S195" s="22"/>
      <c r="T195" s="22"/>
      <c r="U195" s="22"/>
    </row>
    <row r="196" spans="1:21" ht="240" customHeight="1">
      <c r="A196" s="20"/>
      <c r="B196" s="50">
        <v>5</v>
      </c>
      <c r="C196" s="32">
        <v>45633</v>
      </c>
      <c r="D196" s="105" t="s">
        <v>85</v>
      </c>
      <c r="E196" s="93" t="s">
        <v>917</v>
      </c>
      <c r="F196" s="10">
        <v>300</v>
      </c>
      <c r="G196" s="104" t="s">
        <v>918</v>
      </c>
      <c r="H196" s="82" t="s">
        <v>919</v>
      </c>
      <c r="I196" s="16" t="s">
        <v>44</v>
      </c>
      <c r="J196" s="16" t="s">
        <v>920</v>
      </c>
      <c r="K196" s="14" t="s">
        <v>921</v>
      </c>
      <c r="L196" s="10"/>
      <c r="M196" s="10"/>
      <c r="N196" s="10" t="s">
        <v>982</v>
      </c>
      <c r="O196" s="10"/>
      <c r="P196" s="6"/>
      <c r="Q196" s="22" t="s">
        <v>897</v>
      </c>
      <c r="R196" s="22">
        <v>2</v>
      </c>
      <c r="S196" s="22"/>
      <c r="T196" s="22"/>
      <c r="U196" s="22"/>
    </row>
    <row r="197" spans="1:21" ht="240" customHeight="1">
      <c r="A197" s="20"/>
      <c r="B197" s="50">
        <v>6</v>
      </c>
      <c r="C197" s="32">
        <v>46000</v>
      </c>
      <c r="D197" s="105" t="s">
        <v>53</v>
      </c>
      <c r="E197" s="93" t="s">
        <v>958</v>
      </c>
      <c r="F197" s="10">
        <v>200</v>
      </c>
      <c r="G197" s="104" t="s">
        <v>959</v>
      </c>
      <c r="H197" s="82"/>
      <c r="I197" s="16"/>
      <c r="J197" s="16"/>
      <c r="K197" s="14">
        <v>45987</v>
      </c>
      <c r="L197" s="11">
        <v>45986</v>
      </c>
      <c r="M197" s="10"/>
      <c r="N197" s="10" t="s">
        <v>820</v>
      </c>
      <c r="O197" s="10"/>
      <c r="P197" s="6"/>
      <c r="Q197" s="22" t="s">
        <v>897</v>
      </c>
      <c r="R197" s="22">
        <v>2</v>
      </c>
      <c r="S197" s="22"/>
      <c r="T197" s="22"/>
      <c r="U197" s="22"/>
    </row>
    <row r="198" spans="1:21" ht="240" customHeight="1">
      <c r="A198" s="20"/>
      <c r="B198" s="50">
        <v>7</v>
      </c>
      <c r="C198" s="32">
        <v>46000</v>
      </c>
      <c r="D198" s="105" t="s">
        <v>73</v>
      </c>
      <c r="E198" s="93" t="s">
        <v>59</v>
      </c>
      <c r="F198" s="10">
        <v>120</v>
      </c>
      <c r="G198" s="104" t="s">
        <v>60</v>
      </c>
      <c r="H198" s="82"/>
      <c r="I198" s="16"/>
      <c r="J198" s="16"/>
      <c r="K198" s="14" t="s">
        <v>996</v>
      </c>
      <c r="L198" s="11"/>
      <c r="M198" s="10"/>
      <c r="N198" s="10" t="s">
        <v>820</v>
      </c>
      <c r="O198" s="10"/>
      <c r="P198" s="6"/>
      <c r="Q198" s="22"/>
      <c r="R198" s="22"/>
      <c r="S198" s="22"/>
      <c r="T198" s="22"/>
      <c r="U198" s="22"/>
    </row>
    <row r="199" spans="1:21" ht="240" customHeight="1">
      <c r="A199" s="20"/>
      <c r="B199" s="50">
        <v>8</v>
      </c>
      <c r="C199" s="32">
        <v>46003</v>
      </c>
      <c r="D199" s="105" t="s">
        <v>85</v>
      </c>
      <c r="E199" s="93" t="s">
        <v>960</v>
      </c>
      <c r="F199" s="10">
        <v>1856</v>
      </c>
      <c r="G199" s="104" t="s">
        <v>962</v>
      </c>
      <c r="H199" s="82"/>
      <c r="I199" s="16"/>
      <c r="J199" s="16"/>
      <c r="K199" s="79">
        <v>45998</v>
      </c>
      <c r="L199" s="10" t="s">
        <v>1001</v>
      </c>
      <c r="M199" s="10"/>
      <c r="N199" s="10"/>
      <c r="O199" s="10"/>
      <c r="P199" s="6"/>
      <c r="Q199" s="22" t="s">
        <v>897</v>
      </c>
      <c r="R199" s="22">
        <v>2</v>
      </c>
      <c r="S199" s="22"/>
      <c r="T199" s="22"/>
      <c r="U199" s="22"/>
    </row>
    <row r="200" spans="1:21" ht="240" customHeight="1">
      <c r="A200" s="20"/>
      <c r="B200" s="50">
        <v>9</v>
      </c>
      <c r="C200" s="32">
        <v>46003</v>
      </c>
      <c r="D200" s="105" t="s">
        <v>81</v>
      </c>
      <c r="E200" s="93" t="s">
        <v>961</v>
      </c>
      <c r="F200" s="10">
        <v>1</v>
      </c>
      <c r="G200" s="104" t="s">
        <v>28</v>
      </c>
      <c r="H200" s="82"/>
      <c r="I200" s="16"/>
      <c r="J200" s="16"/>
      <c r="K200" s="79">
        <v>45993</v>
      </c>
      <c r="L200" s="10" t="s">
        <v>1000</v>
      </c>
      <c r="M200" s="10"/>
      <c r="N200" s="10"/>
      <c r="O200" s="10"/>
      <c r="P200" s="6"/>
      <c r="Q200" s="22"/>
      <c r="R200" s="22"/>
      <c r="S200" s="22"/>
      <c r="T200" s="22"/>
      <c r="U200" s="22"/>
    </row>
    <row r="201" spans="1:21" ht="240" customHeight="1">
      <c r="A201" s="20"/>
      <c r="B201" s="50">
        <v>10</v>
      </c>
      <c r="C201" s="32">
        <v>46005</v>
      </c>
      <c r="D201" s="105" t="s">
        <v>85</v>
      </c>
      <c r="E201" s="93" t="s">
        <v>967</v>
      </c>
      <c r="F201" s="10" t="s">
        <v>968</v>
      </c>
      <c r="G201" s="104" t="s">
        <v>969</v>
      </c>
      <c r="H201" s="82"/>
      <c r="I201" s="16"/>
      <c r="J201" s="16"/>
      <c r="K201" s="79">
        <v>46001</v>
      </c>
      <c r="L201" s="10" t="s">
        <v>1001</v>
      </c>
      <c r="M201" s="10"/>
      <c r="N201" s="10"/>
      <c r="O201" s="10"/>
      <c r="P201" s="6"/>
      <c r="Q201" s="22"/>
      <c r="R201" s="22"/>
      <c r="S201" s="22"/>
      <c r="T201" s="22"/>
      <c r="U201" s="22"/>
    </row>
    <row r="202" spans="1:21" ht="240" customHeight="1">
      <c r="A202" s="20"/>
      <c r="B202" s="50">
        <v>11</v>
      </c>
      <c r="C202" s="32">
        <v>46008</v>
      </c>
      <c r="D202" s="105" t="s">
        <v>965</v>
      </c>
      <c r="E202" s="93" t="s">
        <v>963</v>
      </c>
      <c r="F202" s="10"/>
      <c r="G202" s="104" t="s">
        <v>964</v>
      </c>
      <c r="H202" s="82"/>
      <c r="I202" s="16"/>
      <c r="J202" s="16"/>
      <c r="K202" s="14" t="s">
        <v>966</v>
      </c>
      <c r="L202" s="10"/>
      <c r="M202" s="10"/>
      <c r="N202" s="10"/>
      <c r="O202" s="10"/>
      <c r="P202" s="6"/>
      <c r="Q202" s="22"/>
      <c r="R202" s="22"/>
      <c r="S202" s="22"/>
      <c r="T202" s="22"/>
      <c r="U202" s="22"/>
    </row>
    <row r="203" spans="1:21" ht="240" customHeight="1">
      <c r="A203" s="20"/>
      <c r="B203" s="50">
        <v>12</v>
      </c>
      <c r="C203" s="32">
        <v>46015</v>
      </c>
      <c r="D203" s="97" t="s">
        <v>118</v>
      </c>
      <c r="E203" s="93" t="s">
        <v>970</v>
      </c>
      <c r="F203" s="10"/>
      <c r="G203" s="104" t="s">
        <v>971</v>
      </c>
      <c r="H203" s="82"/>
      <c r="I203" s="16" t="s">
        <v>820</v>
      </c>
      <c r="J203" s="16" t="s">
        <v>972</v>
      </c>
      <c r="K203" s="14">
        <v>45945</v>
      </c>
      <c r="L203" s="10"/>
      <c r="M203" s="10"/>
      <c r="N203" s="10" t="s">
        <v>722</v>
      </c>
      <c r="O203" s="10"/>
      <c r="P203" s="6"/>
      <c r="Q203" s="22" t="s">
        <v>897</v>
      </c>
      <c r="R203" s="22">
        <v>2</v>
      </c>
      <c r="S203" s="22"/>
      <c r="T203" s="22"/>
      <c r="U203" s="22"/>
    </row>
    <row r="204" spans="1:21" ht="240" customHeight="1">
      <c r="A204" s="20"/>
      <c r="B204" s="50">
        <v>13</v>
      </c>
      <c r="C204" s="32">
        <v>46017</v>
      </c>
      <c r="D204" s="105" t="s">
        <v>194</v>
      </c>
      <c r="E204" s="93"/>
      <c r="F204" s="10"/>
      <c r="G204" s="104" t="s">
        <v>201</v>
      </c>
      <c r="H204" s="82" t="s">
        <v>973</v>
      </c>
      <c r="I204" s="16" t="s">
        <v>974</v>
      </c>
      <c r="J204" s="16" t="s">
        <v>975</v>
      </c>
      <c r="K204" s="79">
        <v>46017</v>
      </c>
      <c r="L204" s="10" t="s">
        <v>1001</v>
      </c>
      <c r="M204" s="10"/>
      <c r="N204" s="10"/>
      <c r="O204" s="10"/>
      <c r="P204" s="6"/>
      <c r="Q204" s="22"/>
      <c r="R204" s="22"/>
      <c r="S204" s="22"/>
      <c r="T204" s="22"/>
      <c r="U204" s="22"/>
    </row>
    <row r="205" spans="1:21" ht="240" customHeight="1">
      <c r="A205" s="20"/>
      <c r="B205" s="50">
        <v>14</v>
      </c>
      <c r="C205" s="32">
        <v>46017</v>
      </c>
      <c r="D205" s="105" t="s">
        <v>73</v>
      </c>
      <c r="E205" s="93" t="s">
        <v>976</v>
      </c>
      <c r="F205" s="10">
        <v>2000</v>
      </c>
      <c r="G205" s="104" t="s">
        <v>977</v>
      </c>
      <c r="H205" s="82"/>
      <c r="I205" s="16"/>
      <c r="J205" s="16"/>
      <c r="K205" s="79">
        <v>46017</v>
      </c>
      <c r="L205" s="10" t="s">
        <v>1001</v>
      </c>
      <c r="M205" s="10"/>
      <c r="N205" s="10" t="s">
        <v>820</v>
      </c>
      <c r="O205" s="10"/>
      <c r="P205" s="6"/>
      <c r="Q205" s="22" t="s">
        <v>897</v>
      </c>
      <c r="R205" s="22">
        <v>2</v>
      </c>
      <c r="S205" s="22"/>
      <c r="T205" s="22"/>
      <c r="U205" s="22"/>
    </row>
    <row r="206" spans="1:21" ht="240" customHeight="1">
      <c r="A206" s="20"/>
      <c r="B206" s="50">
        <v>15</v>
      </c>
      <c r="C206" s="32">
        <v>46018</v>
      </c>
      <c r="D206" s="105" t="s">
        <v>541</v>
      </c>
      <c r="E206" s="93" t="s">
        <v>978</v>
      </c>
      <c r="F206" s="10">
        <v>10</v>
      </c>
      <c r="G206" s="104" t="s">
        <v>959</v>
      </c>
      <c r="H206" s="82"/>
      <c r="I206" s="16"/>
      <c r="J206" s="16"/>
      <c r="K206" s="14">
        <v>45974</v>
      </c>
      <c r="L206" s="10"/>
      <c r="M206" s="10"/>
      <c r="N206" s="10"/>
      <c r="O206" s="10"/>
      <c r="P206" s="6"/>
      <c r="Q206" s="22"/>
      <c r="R206" s="22"/>
      <c r="S206" s="22"/>
      <c r="T206" s="22"/>
      <c r="U206" s="22"/>
    </row>
    <row r="207" spans="1:21" ht="240" customHeight="1">
      <c r="A207" s="20"/>
      <c r="B207" s="50">
        <v>16</v>
      </c>
      <c r="C207" s="32">
        <v>46022</v>
      </c>
      <c r="D207" s="105" t="s">
        <v>53</v>
      </c>
      <c r="E207" s="93" t="s">
        <v>979</v>
      </c>
      <c r="F207" s="10"/>
      <c r="G207" s="104" t="s">
        <v>201</v>
      </c>
      <c r="H207" s="82"/>
      <c r="I207" s="16" t="s">
        <v>980</v>
      </c>
      <c r="J207" s="16"/>
      <c r="K207" s="79">
        <v>46021</v>
      </c>
      <c r="L207" s="10" t="s">
        <v>949</v>
      </c>
      <c r="M207" s="10"/>
      <c r="N207" s="10"/>
      <c r="O207" s="10"/>
      <c r="P207" s="6"/>
      <c r="Q207" s="22" t="s">
        <v>897</v>
      </c>
      <c r="R207" s="22">
        <v>2</v>
      </c>
      <c r="S207" s="22"/>
      <c r="T207" s="22"/>
      <c r="U207" s="22"/>
    </row>
    <row r="208" spans="1:21" ht="61.5" customHeight="1">
      <c r="A208" s="110" t="s">
        <v>8</v>
      </c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2"/>
      <c r="N208" s="66"/>
      <c r="O208" s="35">
        <v>16</v>
      </c>
      <c r="P208" s="7"/>
      <c r="Q208" s="22"/>
      <c r="R208" s="22"/>
      <c r="S208" s="22"/>
      <c r="T208" s="22"/>
      <c r="U208" s="22"/>
    </row>
    <row r="209" spans="1:21" ht="240" customHeight="1">
      <c r="A209" s="20"/>
      <c r="B209" s="50">
        <v>3</v>
      </c>
      <c r="C209" s="32"/>
      <c r="D209" s="97"/>
      <c r="E209" s="93"/>
      <c r="F209" s="10"/>
      <c r="G209" s="104"/>
      <c r="H209" s="82"/>
      <c r="I209" s="16"/>
      <c r="J209" s="16"/>
      <c r="K209" s="14"/>
      <c r="L209" s="10"/>
      <c r="M209" s="10"/>
      <c r="N209" s="10"/>
      <c r="O209" s="10"/>
      <c r="P209" s="6"/>
      <c r="Q209" s="22" t="s">
        <v>897</v>
      </c>
      <c r="R209" s="22">
        <v>2</v>
      </c>
      <c r="S209" s="22"/>
      <c r="T209" s="22"/>
      <c r="U209" s="22"/>
    </row>
    <row r="210" spans="1:21" ht="36" customHeight="1">
      <c r="A210" s="18"/>
      <c r="B210" s="18"/>
      <c r="C210" s="18" t="s">
        <v>69</v>
      </c>
      <c r="D210" s="106"/>
      <c r="E210" s="106"/>
      <c r="F210" s="18"/>
      <c r="G210" s="106"/>
      <c r="H210" s="89"/>
      <c r="I210" s="19"/>
      <c r="J210" s="181" t="e" vm="1">
        <v>#VALUE!</v>
      </c>
      <c r="K210" s="181"/>
      <c r="L210" s="18"/>
      <c r="M210" s="18"/>
      <c r="N210" s="18"/>
      <c r="O210" s="18"/>
      <c r="Q210" s="22"/>
      <c r="R210" s="22"/>
      <c r="S210" s="22"/>
      <c r="T210" s="22"/>
      <c r="U210" s="22"/>
    </row>
    <row r="211" spans="1:21" ht="36" customHeight="1">
      <c r="A211" s="18"/>
      <c r="B211" s="18"/>
      <c r="C211" s="18"/>
      <c r="D211" s="106"/>
      <c r="E211" s="106"/>
      <c r="F211" s="18"/>
      <c r="G211" s="106"/>
      <c r="H211" s="90"/>
      <c r="I211" s="18"/>
      <c r="J211" s="181"/>
      <c r="K211" s="181"/>
      <c r="L211" s="18"/>
      <c r="M211" s="18"/>
      <c r="N211" s="18"/>
      <c r="O211" s="18"/>
      <c r="Q211" s="22"/>
      <c r="R211" s="22"/>
      <c r="S211" s="22"/>
      <c r="T211" s="22"/>
      <c r="U211" s="22"/>
    </row>
    <row r="212" spans="1:21" ht="36" customHeight="1">
      <c r="A212" s="18"/>
      <c r="B212" s="18"/>
      <c r="C212" s="18"/>
      <c r="D212" s="106"/>
      <c r="E212" s="106"/>
      <c r="F212" s="18"/>
      <c r="G212" s="106" t="s">
        <v>8</v>
      </c>
      <c r="H212" s="90"/>
      <c r="I212" s="18"/>
      <c r="J212" s="181"/>
      <c r="K212" s="181"/>
      <c r="L212" s="18"/>
      <c r="M212" s="18"/>
      <c r="N212" s="18"/>
      <c r="O212" s="18"/>
      <c r="Q212" s="22"/>
      <c r="R212" s="22"/>
      <c r="S212" s="22"/>
      <c r="T212" s="22"/>
      <c r="U212" s="22"/>
    </row>
    <row r="213" spans="1:21" ht="62">
      <c r="A213" s="18"/>
      <c r="B213" s="18"/>
      <c r="C213" s="18"/>
      <c r="D213" s="106"/>
      <c r="E213" s="106"/>
      <c r="F213" s="18"/>
      <c r="G213" s="106"/>
      <c r="H213" s="90"/>
      <c r="I213" s="18"/>
      <c r="J213" s="181" t="s">
        <v>51</v>
      </c>
      <c r="K213" s="181"/>
      <c r="L213" s="18"/>
      <c r="M213" s="18"/>
      <c r="N213" s="18"/>
      <c r="O213" s="18"/>
      <c r="Q213" s="22"/>
      <c r="R213" s="22"/>
      <c r="S213" s="22"/>
      <c r="T213" s="22"/>
      <c r="U213" s="22"/>
    </row>
    <row r="214" spans="1:21" ht="62">
      <c r="A214" s="18"/>
      <c r="B214" s="18"/>
      <c r="C214" s="18"/>
      <c r="D214" s="106"/>
      <c r="E214" s="106"/>
      <c r="F214" s="18"/>
      <c r="G214" s="106"/>
      <c r="H214" s="90"/>
      <c r="I214" s="18"/>
      <c r="J214" s="18"/>
      <c r="K214" s="18"/>
      <c r="L214" s="18"/>
      <c r="M214" s="18"/>
      <c r="N214" s="18"/>
      <c r="O214" s="18"/>
      <c r="Q214" s="22"/>
      <c r="R214" s="22"/>
      <c r="S214" s="22"/>
      <c r="T214" s="22"/>
      <c r="U214" s="22"/>
    </row>
    <row r="215" spans="1:21" ht="62">
      <c r="Q215" s="22"/>
      <c r="R215" s="22"/>
      <c r="S215" s="22"/>
      <c r="T215" s="22"/>
      <c r="U215" s="22"/>
    </row>
    <row r="216" spans="1:21" ht="62">
      <c r="Q216" s="22"/>
      <c r="R216" s="22"/>
      <c r="S216" s="22"/>
      <c r="T216" s="22"/>
      <c r="U216" s="22"/>
    </row>
    <row r="217" spans="1:21" ht="62">
      <c r="Q217" s="22"/>
      <c r="R217" s="22"/>
      <c r="S217" s="22"/>
      <c r="T217" s="22"/>
      <c r="U217" s="22"/>
    </row>
    <row r="218" spans="1:21" ht="62">
      <c r="Q218" s="22"/>
      <c r="R218" s="22"/>
      <c r="S218" s="22"/>
      <c r="T218" s="22"/>
      <c r="U218" s="22"/>
    </row>
    <row r="219" spans="1:21" ht="62">
      <c r="Q219" s="22"/>
      <c r="R219" s="22"/>
      <c r="S219" s="22"/>
      <c r="T219" s="22"/>
      <c r="U219" s="22"/>
    </row>
    <row r="220" spans="1:21" ht="62">
      <c r="Q220" s="22"/>
      <c r="R220" s="22"/>
      <c r="S220" s="22"/>
      <c r="T220" s="22"/>
      <c r="U220" s="22"/>
    </row>
    <row r="221" spans="1:21" ht="62">
      <c r="Q221" s="22"/>
      <c r="R221" s="22"/>
      <c r="S221" s="22"/>
      <c r="T221" s="22"/>
      <c r="U221" s="22"/>
    </row>
    <row r="222" spans="1:21" ht="62">
      <c r="Q222" s="22"/>
      <c r="R222" s="22"/>
      <c r="S222" s="22"/>
      <c r="T222" s="22"/>
      <c r="U222" s="22"/>
    </row>
    <row r="223" spans="1:21" ht="62">
      <c r="Q223" s="22"/>
      <c r="R223" s="22"/>
      <c r="S223" s="22"/>
      <c r="T223" s="22"/>
      <c r="U223" s="22"/>
    </row>
    <row r="224" spans="1:21" ht="62">
      <c r="Q224" s="22"/>
      <c r="R224" s="22"/>
      <c r="S224" s="22"/>
      <c r="T224" s="22"/>
      <c r="U224" s="22"/>
    </row>
    <row r="225" spans="17:21" ht="62">
      <c r="Q225" s="22"/>
      <c r="R225" s="22"/>
      <c r="S225" s="22"/>
      <c r="T225" s="22"/>
      <c r="U225" s="22"/>
    </row>
    <row r="226" spans="17:21" ht="62">
      <c r="Q226" s="22"/>
      <c r="R226" s="22"/>
      <c r="S226" s="22"/>
      <c r="T226" s="22"/>
      <c r="U226" s="22"/>
    </row>
    <row r="227" spans="17:21" ht="62">
      <c r="Q227" s="22"/>
      <c r="R227" s="22"/>
      <c r="S227" s="22"/>
      <c r="T227" s="22"/>
      <c r="U227" s="22"/>
    </row>
    <row r="228" spans="17:21" ht="62">
      <c r="Q228" s="22"/>
      <c r="R228" s="22"/>
      <c r="S228" s="22"/>
      <c r="T228" s="22"/>
      <c r="U228" s="22"/>
    </row>
  </sheetData>
  <autoFilter ref="A4:P214" xr:uid="{00000000-0009-0000-0000-000001000000}"/>
  <mergeCells count="113">
    <mergeCell ref="A178:M178"/>
    <mergeCell ref="J213:K213"/>
    <mergeCell ref="J210:K212"/>
    <mergeCell ref="A191:M191"/>
    <mergeCell ref="M120:O120"/>
    <mergeCell ref="A146:L146"/>
    <mergeCell ref="A161:A162"/>
    <mergeCell ref="C161:C162"/>
    <mergeCell ref="D161:D162"/>
    <mergeCell ref="E161:E162"/>
    <mergeCell ref="F161:F162"/>
    <mergeCell ref="G161:G162"/>
    <mergeCell ref="M165:O165"/>
    <mergeCell ref="C156:C159"/>
    <mergeCell ref="D156:D159"/>
    <mergeCell ref="B156:B159"/>
    <mergeCell ref="A119:A126"/>
    <mergeCell ref="D138:D141"/>
    <mergeCell ref="A131:A134"/>
    <mergeCell ref="A167:A168"/>
    <mergeCell ref="A165:L165"/>
    <mergeCell ref="H161:H162"/>
    <mergeCell ref="I161:I162"/>
    <mergeCell ref="J161:J162"/>
    <mergeCell ref="K161:K162"/>
    <mergeCell ref="L161:L162"/>
    <mergeCell ref="M38:O38"/>
    <mergeCell ref="C70:C71"/>
    <mergeCell ref="K122:K128"/>
    <mergeCell ref="L122:L128"/>
    <mergeCell ref="N122:N128"/>
    <mergeCell ref="A127:A130"/>
    <mergeCell ref="P110:P112"/>
    <mergeCell ref="P79:P81"/>
    <mergeCell ref="I66:I68"/>
    <mergeCell ref="J66:J68"/>
    <mergeCell ref="D66:D68"/>
    <mergeCell ref="H66:H68"/>
    <mergeCell ref="A101:L101"/>
    <mergeCell ref="A79:A81"/>
    <mergeCell ref="B78:B96"/>
    <mergeCell ref="A110:A112"/>
    <mergeCell ref="O78:O96"/>
    <mergeCell ref="C78:C81"/>
    <mergeCell ref="A84:A87"/>
    <mergeCell ref="A92:A93"/>
    <mergeCell ref="D70:D71"/>
    <mergeCell ref="D78:D96"/>
    <mergeCell ref="P39:P45"/>
    <mergeCell ref="M146:O146"/>
    <mergeCell ref="A52:L52"/>
    <mergeCell ref="M101:O101"/>
    <mergeCell ref="A76:L76"/>
    <mergeCell ref="C58:C59"/>
    <mergeCell ref="D63:D64"/>
    <mergeCell ref="C66:C68"/>
    <mergeCell ref="M52:O52"/>
    <mergeCell ref="M55:O55"/>
    <mergeCell ref="M76:O76"/>
    <mergeCell ref="C82:C84"/>
    <mergeCell ref="C85:C88"/>
    <mergeCell ref="A55:L55"/>
    <mergeCell ref="A56:A58"/>
    <mergeCell ref="N78:N96"/>
    <mergeCell ref="B122:B128"/>
    <mergeCell ref="D122:D128"/>
    <mergeCell ref="C122:C128"/>
    <mergeCell ref="C138:C141"/>
    <mergeCell ref="H122:H128"/>
    <mergeCell ref="I122:I128"/>
    <mergeCell ref="J122:J128"/>
    <mergeCell ref="D23:D24"/>
    <mergeCell ref="K23:K24"/>
    <mergeCell ref="C7:C8"/>
    <mergeCell ref="D7:D8"/>
    <mergeCell ref="G7:G8"/>
    <mergeCell ref="G23:G24"/>
    <mergeCell ref="I23:I24"/>
    <mergeCell ref="I78:I96"/>
    <mergeCell ref="J78:J96"/>
    <mergeCell ref="K78:M96"/>
    <mergeCell ref="H78:H96"/>
    <mergeCell ref="I7:I8"/>
    <mergeCell ref="D19:D21"/>
    <mergeCell ref="C19:C21"/>
    <mergeCell ref="D27:D29"/>
    <mergeCell ref="G28:G29"/>
    <mergeCell ref="C27:C29"/>
    <mergeCell ref="G78:G96"/>
    <mergeCell ref="A208:M208"/>
    <mergeCell ref="N161:N162"/>
    <mergeCell ref="O161:O162"/>
    <mergeCell ref="M156:M159"/>
    <mergeCell ref="N1:O3"/>
    <mergeCell ref="B1:D3"/>
    <mergeCell ref="E2:M3"/>
    <mergeCell ref="E1:M1"/>
    <mergeCell ref="M122:M128"/>
    <mergeCell ref="O122:O128"/>
    <mergeCell ref="H156:H159"/>
    <mergeCell ref="I156:I159"/>
    <mergeCell ref="J156:J159"/>
    <mergeCell ref="K156:K159"/>
    <mergeCell ref="L156:L159"/>
    <mergeCell ref="N156:N159"/>
    <mergeCell ref="O156:O159"/>
    <mergeCell ref="A32:L32"/>
    <mergeCell ref="A38:L38"/>
    <mergeCell ref="M161:M162"/>
    <mergeCell ref="M32:O32"/>
    <mergeCell ref="C89:C96"/>
    <mergeCell ref="B23:B24"/>
    <mergeCell ref="C23:C24"/>
  </mergeCells>
  <phoneticPr fontId="2" type="noConversion"/>
  <pageMargins left="0.70866141732283472" right="0.70866141732283472" top="0.74803149606299213" bottom="0.74803149606299213" header="0.31496062992125984" footer="0.31496062992125984"/>
  <pageSetup scale="16" orientation="landscape" verticalDpi="360" r:id="rId1"/>
  <rowBreaks count="8" manualBreakCount="8">
    <brk id="25" max="14" man="1"/>
    <brk id="42" max="14" man="1"/>
    <brk id="58" max="14" man="1"/>
    <brk id="80" max="14" man="1"/>
    <brk id="105" max="14" man="1"/>
    <brk id="118" max="14" man="1"/>
    <brk id="134" max="14" man="1"/>
    <brk id="169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view="pageBreakPreview" topLeftCell="A3" zoomScale="80" zoomScaleNormal="60" zoomScaleSheetLayoutView="80" workbookViewId="0">
      <selection activeCell="D4" sqref="D4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52</v>
      </c>
      <c r="B2" s="36" t="s">
        <v>1005</v>
      </c>
    </row>
    <row r="3" spans="1:7" ht="30" customHeight="1">
      <c r="A3" s="34" t="s">
        <v>894</v>
      </c>
      <c r="B3" s="44">
        <v>26</v>
      </c>
    </row>
    <row r="4" spans="1:7" ht="30" customHeight="1">
      <c r="A4" s="34" t="s">
        <v>895</v>
      </c>
      <c r="B4" s="44">
        <v>5</v>
      </c>
    </row>
    <row r="5" spans="1:7" ht="30" customHeight="1">
      <c r="A5" s="34" t="s">
        <v>896</v>
      </c>
      <c r="B5" s="44">
        <v>13</v>
      </c>
      <c r="C5" s="1"/>
      <c r="D5" s="2"/>
      <c r="E5" s="2"/>
    </row>
    <row r="6" spans="1:7" ht="30" customHeight="1">
      <c r="A6" s="34" t="s">
        <v>897</v>
      </c>
      <c r="B6" s="44">
        <v>2</v>
      </c>
      <c r="C6" s="1"/>
      <c r="D6" s="2"/>
      <c r="E6" s="2"/>
    </row>
    <row r="7" spans="1:7" ht="30" customHeight="1">
      <c r="A7" s="34" t="s">
        <v>898</v>
      </c>
      <c r="B7" s="44">
        <v>20</v>
      </c>
      <c r="C7" s="1"/>
      <c r="D7" s="2"/>
      <c r="E7" s="2"/>
    </row>
    <row r="8" spans="1:7" ht="30" customHeight="1">
      <c r="A8" s="34" t="s">
        <v>1006</v>
      </c>
      <c r="B8" s="44">
        <v>6</v>
      </c>
      <c r="C8" s="1"/>
      <c r="D8" s="2"/>
      <c r="E8" s="2"/>
    </row>
    <row r="9" spans="1:7" ht="30" customHeight="1">
      <c r="A9" s="34" t="s">
        <v>1007</v>
      </c>
      <c r="B9" s="44">
        <v>18</v>
      </c>
      <c r="C9" s="1"/>
      <c r="D9" s="2"/>
      <c r="E9" s="2"/>
    </row>
    <row r="10" spans="1:7" ht="30" customHeight="1">
      <c r="A10" s="34" t="s">
        <v>901</v>
      </c>
      <c r="B10" s="44">
        <v>19</v>
      </c>
      <c r="C10" s="1"/>
      <c r="D10" s="2"/>
      <c r="E10" s="2"/>
    </row>
    <row r="11" spans="1:7" ht="30" customHeight="1">
      <c r="A11" s="34" t="s">
        <v>902</v>
      </c>
      <c r="B11" s="44">
        <v>14</v>
      </c>
      <c r="C11" s="1"/>
      <c r="D11" s="2"/>
      <c r="E11" s="2"/>
    </row>
    <row r="12" spans="1:7" ht="30" customHeight="1">
      <c r="A12" s="34" t="s">
        <v>1008</v>
      </c>
      <c r="B12" s="44">
        <v>11</v>
      </c>
      <c r="C12" s="1"/>
      <c r="D12" s="2"/>
      <c r="E12" s="2"/>
    </row>
    <row r="13" spans="1:7" ht="30" customHeight="1">
      <c r="A13" s="34" t="s">
        <v>1009</v>
      </c>
      <c r="B13" s="44">
        <v>12</v>
      </c>
      <c r="C13" s="1"/>
      <c r="D13" s="2"/>
      <c r="E13" s="2"/>
    </row>
    <row r="14" spans="1:7" ht="30" customHeight="1">
      <c r="A14" s="34" t="s">
        <v>987</v>
      </c>
      <c r="B14" s="44">
        <v>16</v>
      </c>
      <c r="C14" s="1"/>
      <c r="D14" s="2"/>
      <c r="E14" s="2"/>
    </row>
    <row r="15" spans="1:7" ht="16">
      <c r="A15" s="37" t="s">
        <v>66</v>
      </c>
      <c r="B15" s="38">
        <f>SUM(B3:B14)</f>
        <v>162</v>
      </c>
      <c r="G15" s="41"/>
    </row>
    <row r="16" spans="1:7">
      <c r="B16">
        <f>AVERAGE(B3:B14)</f>
        <v>13.5</v>
      </c>
    </row>
    <row r="17" spans="1:7">
      <c r="A17" s="4"/>
    </row>
    <row r="25" spans="1:7">
      <c r="G25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view="pageBreakPreview" zoomScale="80" zoomScaleNormal="60" zoomScaleSheetLayoutView="80" workbookViewId="0">
      <selection activeCell="H15" sqref="H15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986</v>
      </c>
      <c r="B3" s="44">
        <v>2</v>
      </c>
    </row>
    <row r="4" spans="1:7" ht="30" customHeight="1">
      <c r="A4" s="34" t="s">
        <v>955</v>
      </c>
      <c r="B4" s="44">
        <v>2</v>
      </c>
    </row>
    <row r="5" spans="1:7" ht="30" customHeight="1">
      <c r="A5" s="34" t="s">
        <v>85</v>
      </c>
      <c r="B5" s="44">
        <v>3</v>
      </c>
      <c r="C5" s="1"/>
      <c r="D5" s="2"/>
      <c r="E5" s="2"/>
    </row>
    <row r="6" spans="1:7" ht="30" customHeight="1">
      <c r="A6" s="34" t="s">
        <v>53</v>
      </c>
      <c r="B6" s="44">
        <v>2</v>
      </c>
      <c r="C6" s="1"/>
      <c r="D6" s="2"/>
      <c r="E6" s="2"/>
    </row>
    <row r="7" spans="1:7" ht="30" customHeight="1">
      <c r="A7" s="34" t="s">
        <v>73</v>
      </c>
      <c r="B7" s="44">
        <v>2</v>
      </c>
      <c r="C7" s="1"/>
      <c r="D7" s="2"/>
      <c r="E7" s="2"/>
    </row>
    <row r="8" spans="1:7" ht="30" customHeight="1">
      <c r="A8" s="34" t="s">
        <v>541</v>
      </c>
      <c r="B8" s="44">
        <v>2</v>
      </c>
      <c r="C8" s="1"/>
      <c r="D8" s="2"/>
      <c r="E8" s="2"/>
    </row>
    <row r="9" spans="1:7" ht="30" customHeight="1">
      <c r="A9" s="34" t="s">
        <v>194</v>
      </c>
      <c r="B9" s="44">
        <v>1</v>
      </c>
      <c r="C9" s="1"/>
      <c r="D9" s="2"/>
      <c r="E9" s="2"/>
    </row>
    <row r="10" spans="1:7" ht="30" customHeight="1">
      <c r="A10" s="34" t="s">
        <v>516</v>
      </c>
      <c r="B10" s="44">
        <v>1</v>
      </c>
      <c r="C10" s="1"/>
      <c r="D10" s="2"/>
      <c r="E10" s="2"/>
    </row>
    <row r="11" spans="1:7" ht="30" customHeight="1">
      <c r="A11" s="34" t="s">
        <v>167</v>
      </c>
      <c r="B11" s="44">
        <v>1</v>
      </c>
      <c r="C11" s="1"/>
      <c r="D11" s="2"/>
      <c r="E11" s="2"/>
    </row>
    <row r="12" spans="1:7" ht="16">
      <c r="A12" s="37" t="s">
        <v>66</v>
      </c>
      <c r="B12" s="38">
        <f>SUM(B3:B11)</f>
        <v>16</v>
      </c>
      <c r="G12" s="41"/>
    </row>
    <row r="14" spans="1:7">
      <c r="A14" s="4"/>
    </row>
    <row r="22" spans="7:7">
      <c r="G22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view="pageBreakPreview" zoomScale="80" zoomScaleNormal="60" zoomScaleSheetLayoutView="80" workbookViewId="0">
      <selection activeCell="D16" sqref="D16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28</v>
      </c>
      <c r="B3" s="44">
        <v>2</v>
      </c>
      <c r="C3">
        <v>1</v>
      </c>
    </row>
    <row r="4" spans="1:7" ht="30" customHeight="1">
      <c r="A4" s="34" t="s">
        <v>78</v>
      </c>
      <c r="B4" s="44">
        <v>5</v>
      </c>
    </row>
    <row r="5" spans="1:7" ht="30" customHeight="1">
      <c r="A5" s="34" t="s">
        <v>164</v>
      </c>
      <c r="B5" s="44">
        <v>1</v>
      </c>
    </row>
    <row r="6" spans="1:7" ht="30" customHeight="1">
      <c r="A6" s="34" t="s">
        <v>27</v>
      </c>
      <c r="B6" s="44">
        <v>1</v>
      </c>
      <c r="C6" s="1"/>
      <c r="D6" s="2"/>
      <c r="E6" s="2"/>
    </row>
    <row r="7" spans="1:7" ht="30" customHeight="1">
      <c r="A7" s="34" t="s">
        <v>388</v>
      </c>
      <c r="B7" s="44">
        <v>2</v>
      </c>
      <c r="C7" s="1"/>
      <c r="D7" s="2"/>
      <c r="E7" s="2"/>
    </row>
    <row r="8" spans="1:7" ht="30" customHeight="1">
      <c r="A8" s="34" t="s">
        <v>160</v>
      </c>
      <c r="B8" s="60">
        <v>2</v>
      </c>
    </row>
    <row r="9" spans="1:7" ht="30" customHeight="1">
      <c r="A9" s="34" t="s">
        <v>984</v>
      </c>
      <c r="B9" s="44">
        <v>1</v>
      </c>
    </row>
    <row r="10" spans="1:7" ht="30" customHeight="1">
      <c r="A10" s="34" t="s">
        <v>985</v>
      </c>
      <c r="B10" s="44">
        <v>1</v>
      </c>
      <c r="C10" s="1"/>
      <c r="D10" s="2"/>
      <c r="E10" s="2"/>
    </row>
    <row r="11" spans="1:7" ht="30" customHeight="1">
      <c r="A11" s="34" t="s">
        <v>887</v>
      </c>
      <c r="B11" s="44">
        <v>1</v>
      </c>
      <c r="C11" s="1"/>
      <c r="D11" s="1"/>
      <c r="E11" s="1"/>
    </row>
    <row r="12" spans="1:7" ht="16">
      <c r="A12" s="37" t="s">
        <v>66</v>
      </c>
      <c r="B12" s="78">
        <f>SUM(B3:B11)</f>
        <v>16</v>
      </c>
      <c r="G12" s="41"/>
    </row>
    <row r="14" spans="1:7">
      <c r="A14" s="4"/>
    </row>
    <row r="17" spans="6:7">
      <c r="F17" t="s">
        <v>8</v>
      </c>
    </row>
    <row r="22" spans="6:7">
      <c r="G22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view="pageBreakPreview" zoomScale="80" zoomScaleNormal="60" zoomScaleSheetLayoutView="80" workbookViewId="0">
      <selection activeCell="E11" sqref="E11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62</v>
      </c>
      <c r="B3" s="44">
        <v>3</v>
      </c>
      <c r="C3">
        <v>1</v>
      </c>
    </row>
    <row r="4" spans="1:7" ht="30" customHeight="1">
      <c r="A4" s="34" t="s">
        <v>945</v>
      </c>
      <c r="B4" s="44">
        <v>1</v>
      </c>
    </row>
    <row r="5" spans="1:7" ht="30" customHeight="1">
      <c r="A5" s="34" t="s">
        <v>60</v>
      </c>
      <c r="B5" s="44">
        <v>1</v>
      </c>
    </row>
    <row r="6" spans="1:7" ht="30" customHeight="1">
      <c r="A6" s="34" t="s">
        <v>164</v>
      </c>
      <c r="B6" s="44">
        <v>1</v>
      </c>
      <c r="C6" s="1"/>
      <c r="D6" s="2"/>
      <c r="E6" s="2"/>
    </row>
    <row r="7" spans="1:7" ht="30" customHeight="1">
      <c r="A7" s="34" t="s">
        <v>28</v>
      </c>
      <c r="B7" s="44">
        <v>1</v>
      </c>
      <c r="C7" s="1"/>
      <c r="D7" s="2"/>
      <c r="E7" s="2"/>
    </row>
    <row r="8" spans="1:7" ht="30" customHeight="1">
      <c r="A8" s="34" t="s">
        <v>947</v>
      </c>
      <c r="B8" s="60">
        <v>2</v>
      </c>
    </row>
    <row r="9" spans="1:7" ht="30" customHeight="1">
      <c r="A9" s="34" t="s">
        <v>327</v>
      </c>
      <c r="B9" s="44">
        <v>2</v>
      </c>
    </row>
    <row r="10" spans="1:7" ht="30" customHeight="1">
      <c r="A10" s="34" t="s">
        <v>948</v>
      </c>
      <c r="B10" s="44">
        <v>1</v>
      </c>
      <c r="C10" s="1"/>
      <c r="D10" s="2"/>
      <c r="E10" s="2"/>
    </row>
    <row r="11" spans="1:7" ht="16">
      <c r="A11" s="37" t="s">
        <v>66</v>
      </c>
      <c r="B11" s="38">
        <f>SUM(B3:B10)</f>
        <v>12</v>
      </c>
      <c r="G11" s="41"/>
    </row>
    <row r="13" spans="1:7">
      <c r="A13" s="4"/>
    </row>
    <row r="16" spans="1:7">
      <c r="F16" t="s">
        <v>8</v>
      </c>
    </row>
    <row r="21" spans="7:7">
      <c r="G21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view="pageBreakPreview" zoomScale="80" zoomScaleNormal="60" zoomScaleSheetLayoutView="80" workbookViewId="0">
      <selection activeCell="D14" sqref="D14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81</v>
      </c>
      <c r="B3" s="44">
        <v>4</v>
      </c>
    </row>
    <row r="4" spans="1:7" ht="30" customHeight="1">
      <c r="A4" s="34" t="s">
        <v>85</v>
      </c>
      <c r="B4" s="44">
        <v>1</v>
      </c>
    </row>
    <row r="5" spans="1:7" ht="30" customHeight="1">
      <c r="A5" s="34" t="s">
        <v>73</v>
      </c>
      <c r="B5" s="44">
        <v>3</v>
      </c>
      <c r="C5" s="1"/>
      <c r="D5" s="2"/>
      <c r="E5" s="2"/>
    </row>
    <row r="6" spans="1:7" ht="30" customHeight="1">
      <c r="A6" s="34" t="s">
        <v>167</v>
      </c>
      <c r="B6" s="44">
        <v>1</v>
      </c>
      <c r="C6" s="1"/>
      <c r="D6" s="2"/>
      <c r="E6" s="2"/>
    </row>
    <row r="7" spans="1:7" ht="30" customHeight="1">
      <c r="A7" s="34" t="s">
        <v>516</v>
      </c>
      <c r="B7" s="44">
        <v>2</v>
      </c>
      <c r="C7" s="1"/>
      <c r="D7" s="2"/>
      <c r="E7" s="2"/>
    </row>
    <row r="8" spans="1:7" ht="30" customHeight="1">
      <c r="A8" s="34" t="s">
        <v>541</v>
      </c>
      <c r="B8" s="44">
        <v>1</v>
      </c>
      <c r="C8" s="1"/>
      <c r="D8" s="2"/>
      <c r="E8" s="2"/>
    </row>
    <row r="9" spans="1:7" ht="16">
      <c r="A9" s="37" t="s">
        <v>66</v>
      </c>
      <c r="B9" s="38">
        <f>SUM(B3:B8)</f>
        <v>12</v>
      </c>
      <c r="G9" s="41"/>
    </row>
    <row r="11" spans="1:7">
      <c r="A11" s="4"/>
    </row>
    <row r="19" spans="7:7">
      <c r="G19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78"/>
  <sheetViews>
    <sheetView topLeftCell="B1" zoomScale="20" zoomScaleNormal="20" zoomScaleSheetLayoutView="20" workbookViewId="0">
      <pane ySplit="4" topLeftCell="A37" activePane="bottomLeft" state="frozen"/>
      <selection activeCell="G11" sqref="G11"/>
      <selection pane="bottomLeft" activeCell="C49" sqref="C49"/>
    </sheetView>
  </sheetViews>
  <sheetFormatPr baseColWidth="10" defaultColWidth="9.1640625" defaultRowHeight="29"/>
  <cols>
    <col min="1" max="1" width="23.5" style="9" hidden="1" customWidth="1"/>
    <col min="2" max="2" width="23.5" style="9" customWidth="1"/>
    <col min="3" max="3" width="43.33203125" style="9" customWidth="1"/>
    <col min="4" max="4" width="45.33203125" style="9" customWidth="1"/>
    <col min="5" max="5" width="42" style="9" customWidth="1"/>
    <col min="6" max="6" width="40.5" style="9" customWidth="1"/>
    <col min="7" max="7" width="71.6640625" style="9" customWidth="1"/>
    <col min="8" max="8" width="54.33203125" style="9" customWidth="1"/>
    <col min="9" max="9" width="61.1640625" style="9" customWidth="1"/>
    <col min="10" max="10" width="50" style="9" customWidth="1"/>
    <col min="11" max="11" width="52.33203125" style="9" bestFit="1" customWidth="1"/>
    <col min="12" max="12" width="27.5" style="9" customWidth="1"/>
    <col min="13" max="13" width="28.5" style="9" customWidth="1"/>
    <col min="14" max="14" width="24.83203125" style="9" customWidth="1"/>
    <col min="15" max="15" width="25.1640625" style="9" hidden="1" customWidth="1"/>
    <col min="16" max="16" width="35" style="9" customWidth="1"/>
    <col min="17" max="17" width="31.1640625" style="9" customWidth="1"/>
    <col min="18" max="18" width="36.5" style="9" customWidth="1"/>
    <col min="19" max="19" width="20.6640625" style="9" customWidth="1"/>
    <col min="20" max="16384" width="9.1640625" style="9"/>
  </cols>
  <sheetData>
    <row r="1" spans="1:21" ht="62">
      <c r="C1" s="22"/>
      <c r="D1" s="22"/>
      <c r="E1" s="22"/>
      <c r="F1" s="22"/>
      <c r="G1" s="22"/>
      <c r="H1" s="22"/>
      <c r="I1" s="22"/>
      <c r="J1" s="22"/>
      <c r="L1" s="22"/>
      <c r="M1" s="22"/>
      <c r="N1" s="22"/>
    </row>
    <row r="2" spans="1:21" ht="62">
      <c r="C2" s="23"/>
      <c r="D2" s="23"/>
      <c r="E2" s="23"/>
      <c r="F2" s="23"/>
      <c r="G2" s="23" t="s">
        <v>94</v>
      </c>
      <c r="H2" s="23"/>
      <c r="I2" s="23"/>
      <c r="J2" s="23"/>
      <c r="K2" s="23"/>
      <c r="L2" s="23"/>
      <c r="M2" s="23"/>
      <c r="N2" s="23"/>
    </row>
    <row r="3" spans="1:21" ht="62">
      <c r="C3" s="22"/>
      <c r="D3" s="22"/>
      <c r="E3" s="22"/>
      <c r="F3" s="22"/>
      <c r="G3" s="22" t="s">
        <v>95</v>
      </c>
      <c r="H3" s="22"/>
      <c r="I3" s="22"/>
      <c r="J3" s="22"/>
      <c r="K3" s="22"/>
      <c r="L3" s="22"/>
      <c r="M3" s="22"/>
      <c r="N3" s="22"/>
    </row>
    <row r="4" spans="1:21" s="8" customFormat="1" ht="114" customHeight="1">
      <c r="A4" s="5" t="s">
        <v>30</v>
      </c>
      <c r="B4" s="24" t="s">
        <v>117</v>
      </c>
      <c r="C4" s="24" t="s">
        <v>7</v>
      </c>
      <c r="D4" s="24" t="s">
        <v>0</v>
      </c>
      <c r="E4" s="24" t="s">
        <v>14</v>
      </c>
      <c r="F4" s="24" t="s">
        <v>10</v>
      </c>
      <c r="G4" s="24" t="s">
        <v>1</v>
      </c>
      <c r="H4" s="24" t="s">
        <v>2</v>
      </c>
      <c r="I4" s="24" t="s">
        <v>4</v>
      </c>
      <c r="J4" s="24" t="s">
        <v>5</v>
      </c>
      <c r="K4" s="24" t="s">
        <v>12</v>
      </c>
      <c r="L4" s="24" t="s">
        <v>15</v>
      </c>
      <c r="M4" s="24" t="s">
        <v>13</v>
      </c>
      <c r="N4" s="24" t="s">
        <v>54</v>
      </c>
      <c r="O4" s="6" t="s">
        <v>21</v>
      </c>
      <c r="P4" s="8" t="s">
        <v>0</v>
      </c>
      <c r="Q4" s="8" t="s">
        <v>71</v>
      </c>
    </row>
    <row r="5" spans="1:21" s="8" customFormat="1" ht="120.75" customHeight="1">
      <c r="A5" s="10">
        <v>8</v>
      </c>
      <c r="B5" s="10">
        <v>1</v>
      </c>
      <c r="C5" s="25">
        <v>45320</v>
      </c>
      <c r="D5" s="10" t="s">
        <v>73</v>
      </c>
      <c r="E5" s="10" t="s">
        <v>145</v>
      </c>
      <c r="F5" s="10"/>
      <c r="G5" s="10" t="s">
        <v>146</v>
      </c>
      <c r="H5" s="10"/>
      <c r="I5" s="10" t="s">
        <v>37</v>
      </c>
      <c r="J5" s="10"/>
      <c r="K5" s="25">
        <v>45294</v>
      </c>
      <c r="L5" s="26"/>
      <c r="M5" s="21"/>
      <c r="N5" s="16"/>
      <c r="O5" s="6"/>
      <c r="P5" s="6"/>
      <c r="Q5" s="6"/>
      <c r="R5" s="6"/>
      <c r="S5" s="6"/>
      <c r="T5" s="6"/>
      <c r="U5" s="6"/>
    </row>
    <row r="6" spans="1:21" s="8" customFormat="1" ht="120.75" customHeight="1">
      <c r="A6" s="10"/>
      <c r="B6" s="10">
        <v>2</v>
      </c>
      <c r="C6" s="25">
        <v>45321</v>
      </c>
      <c r="D6" s="113" t="s">
        <v>80</v>
      </c>
      <c r="E6" s="10" t="s">
        <v>151</v>
      </c>
      <c r="F6" s="10"/>
      <c r="G6" s="10" t="s">
        <v>152</v>
      </c>
      <c r="H6" s="10"/>
      <c r="I6" s="10"/>
      <c r="J6" s="10"/>
      <c r="K6" s="25" t="s">
        <v>40</v>
      </c>
      <c r="L6" s="26"/>
      <c r="M6" s="21"/>
      <c r="N6" s="16"/>
      <c r="O6" s="6"/>
      <c r="P6" s="6"/>
      <c r="Q6" s="6"/>
      <c r="R6" s="6"/>
      <c r="S6" s="6"/>
      <c r="T6" s="6"/>
      <c r="U6" s="6"/>
    </row>
    <row r="7" spans="1:21" s="8" customFormat="1" ht="120.75" customHeight="1">
      <c r="A7" s="10"/>
      <c r="B7" s="10">
        <v>3</v>
      </c>
      <c r="C7" s="25">
        <v>45321</v>
      </c>
      <c r="D7" s="116"/>
      <c r="E7" s="10" t="s">
        <v>153</v>
      </c>
      <c r="F7" s="10"/>
      <c r="G7" s="10" t="s">
        <v>154</v>
      </c>
      <c r="H7" s="10"/>
      <c r="I7" s="10"/>
      <c r="J7" s="10"/>
      <c r="K7" s="25">
        <v>45315</v>
      </c>
      <c r="L7" s="26"/>
      <c r="M7" s="21"/>
      <c r="N7" s="16"/>
      <c r="O7" s="6"/>
      <c r="P7" s="6"/>
      <c r="Q7" s="6"/>
      <c r="R7" s="6"/>
      <c r="S7" s="6"/>
      <c r="T7" s="6"/>
      <c r="U7" s="6"/>
    </row>
    <row r="8" spans="1:21" s="8" customFormat="1" ht="120.75" customHeight="1">
      <c r="A8" s="10"/>
      <c r="B8" s="10">
        <v>4</v>
      </c>
      <c r="C8" s="25">
        <v>45321</v>
      </c>
      <c r="D8" s="116"/>
      <c r="E8" s="113" t="s">
        <v>155</v>
      </c>
      <c r="F8" s="10"/>
      <c r="G8" s="10" t="s">
        <v>156</v>
      </c>
      <c r="H8" s="10"/>
      <c r="I8" s="10"/>
      <c r="J8" s="10"/>
      <c r="K8" s="149">
        <v>45320</v>
      </c>
      <c r="L8" s="26"/>
      <c r="M8" s="21"/>
      <c r="N8" s="16"/>
      <c r="O8" s="6"/>
      <c r="P8" s="6"/>
      <c r="Q8" s="6"/>
      <c r="R8" s="6"/>
      <c r="S8" s="6"/>
      <c r="T8" s="6"/>
      <c r="U8" s="6"/>
    </row>
    <row r="9" spans="1:21" s="8" customFormat="1" ht="120.75" customHeight="1">
      <c r="A9" s="10"/>
      <c r="B9" s="10">
        <v>5</v>
      </c>
      <c r="C9" s="25">
        <v>45321</v>
      </c>
      <c r="D9" s="114"/>
      <c r="E9" s="114"/>
      <c r="F9" s="10"/>
      <c r="G9" s="10" t="s">
        <v>157</v>
      </c>
      <c r="H9" s="10"/>
      <c r="I9" s="10"/>
      <c r="J9" s="10"/>
      <c r="K9" s="150"/>
      <c r="L9" s="26"/>
      <c r="M9" s="21"/>
      <c r="N9" s="16"/>
      <c r="O9" s="6"/>
      <c r="P9" s="6"/>
      <c r="Q9" s="6"/>
      <c r="R9" s="6"/>
      <c r="S9" s="6"/>
      <c r="T9" s="6"/>
      <c r="U9" s="6"/>
    </row>
    <row r="10" spans="1:21" ht="77.25" customHeight="1">
      <c r="A10" s="137" t="s">
        <v>20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9"/>
      <c r="M10" s="145">
        <v>5</v>
      </c>
      <c r="N10" s="147"/>
      <c r="O10" s="7"/>
    </row>
    <row r="11" spans="1:21" s="8" customFormat="1" ht="230.25" customHeight="1">
      <c r="A11" s="10"/>
      <c r="B11" s="10">
        <v>1</v>
      </c>
      <c r="C11" s="27">
        <v>45337</v>
      </c>
      <c r="D11" s="10" t="s">
        <v>194</v>
      </c>
      <c r="E11" s="10" t="s">
        <v>195</v>
      </c>
      <c r="F11" s="10"/>
      <c r="G11" s="10" t="s">
        <v>196</v>
      </c>
      <c r="H11" s="10" t="s">
        <v>197</v>
      </c>
      <c r="I11" s="10" t="s">
        <v>198</v>
      </c>
      <c r="J11" s="10" t="s">
        <v>199</v>
      </c>
      <c r="K11" s="51">
        <v>45337</v>
      </c>
      <c r="L11" s="26"/>
      <c r="M11" s="21"/>
      <c r="N11" s="16"/>
      <c r="O11" s="6"/>
    </row>
    <row r="12" spans="1:21" s="8" customFormat="1" ht="238.5" customHeight="1">
      <c r="A12" s="10"/>
      <c r="B12" s="10">
        <v>2</v>
      </c>
      <c r="C12" s="27">
        <v>45351</v>
      </c>
      <c r="D12" s="10" t="s">
        <v>203</v>
      </c>
      <c r="E12" s="10"/>
      <c r="F12" s="10"/>
      <c r="G12" s="10" t="s">
        <v>204</v>
      </c>
      <c r="H12" s="10" t="s">
        <v>205</v>
      </c>
      <c r="I12" s="10" t="s">
        <v>198</v>
      </c>
      <c r="J12" s="10" t="s">
        <v>199</v>
      </c>
      <c r="K12" s="51">
        <v>45351</v>
      </c>
      <c r="L12" s="26"/>
      <c r="M12" s="21"/>
      <c r="N12" s="16"/>
      <c r="O12" s="6"/>
    </row>
    <row r="13" spans="1:21" ht="89.25" customHeight="1">
      <c r="A13" s="137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9"/>
      <c r="M13" s="194">
        <v>2</v>
      </c>
      <c r="N13" s="194"/>
      <c r="O13" s="7"/>
    </row>
    <row r="14" spans="1:21" ht="242.25" customHeight="1">
      <c r="A14" s="10"/>
      <c r="B14" s="10">
        <v>1</v>
      </c>
      <c r="C14" s="11">
        <v>45355</v>
      </c>
      <c r="D14" s="10" t="s">
        <v>194</v>
      </c>
      <c r="E14" s="10" t="s">
        <v>221</v>
      </c>
      <c r="F14" s="10"/>
      <c r="G14" s="10" t="s">
        <v>222</v>
      </c>
      <c r="H14" s="10" t="s">
        <v>223</v>
      </c>
      <c r="I14" s="10" t="s">
        <v>224</v>
      </c>
      <c r="J14" s="10" t="s">
        <v>225</v>
      </c>
      <c r="K14" s="11">
        <v>45348</v>
      </c>
      <c r="L14" s="11"/>
      <c r="M14" s="16"/>
      <c r="N14" s="16"/>
      <c r="O14" s="43" t="s">
        <v>24</v>
      </c>
      <c r="P14" s="7"/>
      <c r="Q14" s="7"/>
      <c r="R14" s="7"/>
      <c r="S14" s="7"/>
      <c r="T14" s="7"/>
      <c r="U14" s="7"/>
    </row>
    <row r="15" spans="1:21" ht="61.5" customHeight="1">
      <c r="A15" s="110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2"/>
      <c r="M15" s="173">
        <v>1</v>
      </c>
      <c r="N15" s="173"/>
      <c r="O15" s="7"/>
    </row>
    <row r="16" spans="1:21" ht="199.5" customHeight="1">
      <c r="A16" s="10"/>
      <c r="B16" s="10">
        <v>1</v>
      </c>
      <c r="C16" s="53">
        <v>45386</v>
      </c>
      <c r="D16" s="55" t="s">
        <v>29</v>
      </c>
      <c r="E16" s="54" t="s">
        <v>267</v>
      </c>
      <c r="F16" s="54">
        <v>145</v>
      </c>
      <c r="G16" s="55" t="s">
        <v>268</v>
      </c>
      <c r="H16" s="54"/>
      <c r="I16" s="54"/>
      <c r="J16" s="54"/>
      <c r="K16" s="53">
        <v>45386</v>
      </c>
      <c r="L16" s="10"/>
      <c r="M16" s="16" t="s">
        <v>270</v>
      </c>
      <c r="N16" s="16"/>
      <c r="O16" s="7"/>
    </row>
    <row r="17" spans="1:15" ht="216.75" customHeight="1">
      <c r="A17" s="10"/>
      <c r="B17" s="10">
        <v>2</v>
      </c>
      <c r="C17" s="53">
        <v>45387</v>
      </c>
      <c r="D17" s="55" t="s">
        <v>29</v>
      </c>
      <c r="E17" s="54" t="s">
        <v>265</v>
      </c>
      <c r="F17" s="54">
        <v>125</v>
      </c>
      <c r="G17" s="55" t="s">
        <v>264</v>
      </c>
      <c r="H17" s="54"/>
      <c r="I17" s="54"/>
      <c r="J17" s="54"/>
      <c r="K17" s="53">
        <v>45387</v>
      </c>
      <c r="L17" s="10"/>
      <c r="M17" s="16" t="s">
        <v>270</v>
      </c>
      <c r="N17" s="16"/>
      <c r="O17" s="7"/>
    </row>
    <row r="18" spans="1:15" ht="315">
      <c r="A18" s="10"/>
      <c r="B18" s="10">
        <v>3</v>
      </c>
      <c r="C18" s="53">
        <v>45387</v>
      </c>
      <c r="D18" s="55" t="s">
        <v>29</v>
      </c>
      <c r="E18" s="54" t="s">
        <v>266</v>
      </c>
      <c r="F18" s="54">
        <v>150</v>
      </c>
      <c r="G18" s="55" t="s">
        <v>269</v>
      </c>
      <c r="H18" s="54"/>
      <c r="I18" s="54"/>
      <c r="J18" s="54"/>
      <c r="K18" s="53">
        <v>45387</v>
      </c>
      <c r="L18" s="10"/>
      <c r="M18" s="16" t="s">
        <v>286</v>
      </c>
      <c r="N18" s="16"/>
      <c r="O18" s="7"/>
    </row>
    <row r="19" spans="1:15" ht="189">
      <c r="A19" s="10"/>
      <c r="B19" s="10">
        <v>4</v>
      </c>
      <c r="C19" s="53">
        <v>45399</v>
      </c>
      <c r="D19" s="55" t="s">
        <v>73</v>
      </c>
      <c r="E19" s="54" t="s">
        <v>56</v>
      </c>
      <c r="F19" s="54">
        <v>100</v>
      </c>
      <c r="G19" s="55" t="s">
        <v>263</v>
      </c>
      <c r="H19" s="54"/>
      <c r="I19" s="54"/>
      <c r="J19" s="54"/>
      <c r="K19" s="53">
        <v>45371</v>
      </c>
      <c r="L19" s="10"/>
      <c r="M19" s="16" t="s">
        <v>271</v>
      </c>
      <c r="N19" s="16" t="s">
        <v>278</v>
      </c>
      <c r="O19" s="7"/>
    </row>
    <row r="20" spans="1:15" ht="126">
      <c r="A20" s="10"/>
      <c r="B20" s="10">
        <v>5</v>
      </c>
      <c r="C20" s="53">
        <v>45408</v>
      </c>
      <c r="D20" s="55" t="s">
        <v>138</v>
      </c>
      <c r="E20" s="54" t="s">
        <v>67</v>
      </c>
      <c r="F20" s="54" t="s">
        <v>285</v>
      </c>
      <c r="G20" s="55" t="s">
        <v>284</v>
      </c>
      <c r="H20" s="54"/>
      <c r="I20" s="54"/>
      <c r="J20" s="54"/>
      <c r="K20" s="53">
        <v>45377</v>
      </c>
      <c r="L20" s="10"/>
      <c r="M20" s="16" t="s">
        <v>271</v>
      </c>
      <c r="N20" s="16"/>
      <c r="O20" s="7"/>
    </row>
    <row r="21" spans="1:15" ht="56.25" customHeight="1">
      <c r="A21" s="110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2"/>
      <c r="M21" s="173"/>
      <c r="N21" s="173"/>
      <c r="O21" s="7"/>
    </row>
    <row r="22" spans="1:15" ht="123.75" customHeight="1">
      <c r="A22" s="148"/>
      <c r="B22" s="10">
        <v>1</v>
      </c>
      <c r="C22" s="17">
        <v>45418</v>
      </c>
      <c r="D22" s="16" t="s">
        <v>306</v>
      </c>
      <c r="E22" s="10" t="s">
        <v>307</v>
      </c>
      <c r="F22" s="10"/>
      <c r="G22" s="16" t="s">
        <v>308</v>
      </c>
      <c r="H22" s="16"/>
      <c r="I22" s="16"/>
      <c r="J22" s="16"/>
      <c r="K22" s="17">
        <v>45418</v>
      </c>
      <c r="L22" s="10"/>
      <c r="M22" s="16"/>
      <c r="N22" s="16"/>
      <c r="O22" s="7"/>
    </row>
    <row r="23" spans="1:15" ht="73.5" customHeight="1">
      <c r="A23" s="148"/>
      <c r="B23" s="10">
        <v>2</v>
      </c>
      <c r="C23" s="17">
        <v>45418</v>
      </c>
      <c r="D23" s="16" t="s">
        <v>133</v>
      </c>
      <c r="E23" s="10" t="s">
        <v>206</v>
      </c>
      <c r="F23" s="10"/>
      <c r="G23" s="16" t="s">
        <v>309</v>
      </c>
      <c r="H23" s="16"/>
      <c r="I23" s="16"/>
      <c r="J23" s="16"/>
      <c r="K23" s="17">
        <v>45418</v>
      </c>
      <c r="L23" s="10"/>
      <c r="M23" s="16"/>
      <c r="N23" s="16"/>
      <c r="O23" s="7"/>
    </row>
    <row r="24" spans="1:15" ht="141" customHeight="1">
      <c r="A24" s="16"/>
      <c r="B24" s="16">
        <v>3</v>
      </c>
      <c r="C24" s="17">
        <v>45426</v>
      </c>
      <c r="D24" s="16" t="s">
        <v>194</v>
      </c>
      <c r="E24" s="16">
        <v>1000</v>
      </c>
      <c r="F24" s="16">
        <v>150</v>
      </c>
      <c r="G24" s="16" t="s">
        <v>328</v>
      </c>
      <c r="H24" s="16"/>
      <c r="I24" s="16"/>
      <c r="J24" s="16"/>
      <c r="K24" s="17">
        <v>45426</v>
      </c>
      <c r="L24" s="16"/>
      <c r="M24" s="16"/>
      <c r="N24" s="16"/>
      <c r="O24" s="7"/>
    </row>
    <row r="25" spans="1:15" ht="68.25" customHeight="1">
      <c r="A25" s="195"/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7"/>
      <c r="M25" s="167">
        <v>3</v>
      </c>
      <c r="N25" s="167"/>
      <c r="O25" s="7"/>
    </row>
    <row r="26" spans="1:15" ht="48">
      <c r="A26" s="16"/>
      <c r="B26" s="16">
        <v>1</v>
      </c>
      <c r="C26" s="17">
        <v>45474</v>
      </c>
      <c r="D26" s="16" t="s">
        <v>87</v>
      </c>
      <c r="E26" s="16" t="s">
        <v>436</v>
      </c>
      <c r="F26" s="16"/>
      <c r="G26" s="16" t="s">
        <v>437</v>
      </c>
      <c r="H26" s="16"/>
      <c r="I26" s="16"/>
      <c r="J26" s="16"/>
      <c r="K26" s="16"/>
      <c r="L26" s="16"/>
      <c r="M26" s="16"/>
      <c r="N26" s="16"/>
      <c r="O26" s="7"/>
    </row>
    <row r="27" spans="1:15" ht="168" customHeight="1">
      <c r="A27" s="16"/>
      <c r="B27" s="16">
        <v>2</v>
      </c>
      <c r="C27" s="17">
        <v>45477</v>
      </c>
      <c r="D27" s="16" t="s">
        <v>438</v>
      </c>
      <c r="E27" s="16"/>
      <c r="F27" s="16"/>
      <c r="G27" s="16" t="s">
        <v>439</v>
      </c>
      <c r="H27" s="16"/>
      <c r="I27" s="16"/>
      <c r="J27" s="16"/>
      <c r="K27" s="16"/>
      <c r="L27" s="16"/>
      <c r="M27" s="16"/>
      <c r="N27" s="16"/>
      <c r="O27" s="7"/>
    </row>
    <row r="28" spans="1:15" ht="168" customHeight="1">
      <c r="A28" s="179"/>
      <c r="B28" s="16">
        <v>3</v>
      </c>
      <c r="C28" s="17">
        <v>45481</v>
      </c>
      <c r="D28" s="16" t="s">
        <v>448</v>
      </c>
      <c r="E28" s="16" t="s">
        <v>480</v>
      </c>
      <c r="F28" s="16"/>
      <c r="G28" s="16" t="s">
        <v>449</v>
      </c>
      <c r="H28" s="16"/>
      <c r="I28" s="16"/>
      <c r="J28" s="16"/>
      <c r="K28" s="17"/>
      <c r="L28" s="28"/>
      <c r="M28" s="16"/>
      <c r="N28" s="16"/>
      <c r="O28" s="164" t="s">
        <v>25</v>
      </c>
    </row>
    <row r="29" spans="1:15" ht="168" customHeight="1">
      <c r="A29" s="179"/>
      <c r="B29" s="16">
        <v>4</v>
      </c>
      <c r="C29" s="17">
        <v>45496</v>
      </c>
      <c r="D29" s="16" t="s">
        <v>477</v>
      </c>
      <c r="E29" s="16" t="s">
        <v>478</v>
      </c>
      <c r="F29" s="16"/>
      <c r="G29" s="16" t="s">
        <v>479</v>
      </c>
      <c r="H29" s="16" t="s">
        <v>481</v>
      </c>
      <c r="I29" s="16" t="s">
        <v>482</v>
      </c>
      <c r="J29" s="16" t="s">
        <v>483</v>
      </c>
      <c r="K29" s="17">
        <v>45496</v>
      </c>
      <c r="L29" s="29"/>
      <c r="M29" s="16"/>
      <c r="N29" s="16"/>
      <c r="O29" s="165"/>
    </row>
    <row r="30" spans="1:15" ht="148.5" customHeight="1">
      <c r="A30" s="179"/>
      <c r="B30" s="16">
        <f t="shared" ref="B30" si="0">B29+1</f>
        <v>5</v>
      </c>
      <c r="C30" s="59">
        <v>45498</v>
      </c>
      <c r="D30" s="45" t="s">
        <v>80</v>
      </c>
      <c r="E30" s="16" t="s">
        <v>473</v>
      </c>
      <c r="F30" s="16"/>
      <c r="G30" s="16" t="s">
        <v>469</v>
      </c>
      <c r="H30" s="16"/>
      <c r="I30" s="16"/>
      <c r="J30" s="16"/>
      <c r="K30" s="59">
        <v>45492</v>
      </c>
      <c r="L30" s="16"/>
      <c r="M30" s="16"/>
      <c r="N30" s="16"/>
      <c r="O30" s="166"/>
    </row>
    <row r="31" spans="1:15" ht="68.25" customHeight="1">
      <c r="A31" s="195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7"/>
      <c r="M31" s="167">
        <v>5</v>
      </c>
      <c r="N31" s="167"/>
      <c r="O31" s="7"/>
    </row>
    <row r="32" spans="1:15" ht="144">
      <c r="A32" s="16"/>
      <c r="B32" s="16">
        <v>1</v>
      </c>
      <c r="C32" s="17">
        <v>45510</v>
      </c>
      <c r="D32" s="16" t="s">
        <v>53</v>
      </c>
      <c r="E32" s="31" t="s">
        <v>562</v>
      </c>
      <c r="F32" s="31"/>
      <c r="G32" s="16" t="s">
        <v>563</v>
      </c>
      <c r="H32" s="16"/>
      <c r="I32" s="16"/>
      <c r="J32" s="16"/>
      <c r="K32" s="31"/>
      <c r="L32" s="16"/>
      <c r="M32" s="16"/>
      <c r="N32" s="16"/>
      <c r="O32" s="7"/>
    </row>
    <row r="33" spans="1:15" ht="68.25" customHeight="1">
      <c r="A33" s="195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7"/>
      <c r="M33" s="167">
        <v>5</v>
      </c>
      <c r="N33" s="167"/>
      <c r="O33" s="7"/>
    </row>
    <row r="34" spans="1:15" ht="162.75" customHeight="1">
      <c r="A34" s="16"/>
      <c r="B34" s="16">
        <v>1</v>
      </c>
      <c r="C34" s="17">
        <v>45541</v>
      </c>
      <c r="D34" s="16" t="s">
        <v>29</v>
      </c>
      <c r="E34" s="16" t="s">
        <v>629</v>
      </c>
      <c r="F34" s="16"/>
      <c r="G34" s="16" t="s">
        <v>630</v>
      </c>
      <c r="H34" s="16"/>
      <c r="I34" s="16"/>
      <c r="J34" s="16"/>
      <c r="K34" s="16"/>
      <c r="L34" s="16"/>
      <c r="M34" s="16"/>
      <c r="N34" s="16"/>
      <c r="O34" s="7"/>
    </row>
    <row r="35" spans="1:15" ht="162.75" customHeight="1">
      <c r="A35" s="16"/>
      <c r="B35" s="16">
        <v>2</v>
      </c>
      <c r="C35" s="17">
        <v>45552</v>
      </c>
      <c r="D35" s="16" t="s">
        <v>88</v>
      </c>
      <c r="E35" s="16" t="s">
        <v>43</v>
      </c>
      <c r="F35" s="16"/>
      <c r="G35" s="16" t="s">
        <v>627</v>
      </c>
      <c r="H35" s="16" t="s">
        <v>628</v>
      </c>
      <c r="I35" s="16"/>
      <c r="J35" s="16"/>
      <c r="K35" s="16"/>
      <c r="L35" s="16"/>
      <c r="M35" s="16"/>
      <c r="N35" s="16"/>
      <c r="O35" s="7"/>
    </row>
    <row r="36" spans="1:15" ht="162.75" customHeight="1">
      <c r="A36" s="16"/>
      <c r="B36" s="16">
        <v>3</v>
      </c>
      <c r="C36" s="17">
        <v>45558</v>
      </c>
      <c r="D36" s="16" t="s">
        <v>73</v>
      </c>
      <c r="E36" s="16" t="s">
        <v>606</v>
      </c>
      <c r="F36" s="16"/>
      <c r="G36" s="16" t="s">
        <v>607</v>
      </c>
      <c r="H36" s="16" t="s">
        <v>607</v>
      </c>
      <c r="I36" s="16"/>
      <c r="J36" s="16"/>
      <c r="K36" s="16"/>
      <c r="L36" s="16"/>
      <c r="M36" s="16"/>
      <c r="N36" s="16"/>
      <c r="O36" s="7"/>
    </row>
    <row r="37" spans="1:15" ht="96">
      <c r="A37" s="16"/>
      <c r="B37" s="16">
        <v>4</v>
      </c>
      <c r="C37" s="17">
        <v>45560</v>
      </c>
      <c r="D37" s="16" t="s">
        <v>73</v>
      </c>
      <c r="E37" s="31" t="s">
        <v>604</v>
      </c>
      <c r="F37" s="31">
        <v>1000</v>
      </c>
      <c r="G37" s="31" t="s">
        <v>605</v>
      </c>
      <c r="H37" s="16"/>
      <c r="I37" s="16" t="s">
        <v>608</v>
      </c>
      <c r="J37" s="16"/>
      <c r="K37" s="16"/>
      <c r="L37" s="16"/>
      <c r="M37" s="16"/>
      <c r="N37" s="16"/>
      <c r="O37" s="7"/>
    </row>
    <row r="38" spans="1:15" ht="167.5" customHeight="1">
      <c r="A38" s="16"/>
      <c r="B38" s="16">
        <v>5</v>
      </c>
      <c r="C38" s="17">
        <v>45560</v>
      </c>
      <c r="D38" s="16" t="s">
        <v>29</v>
      </c>
      <c r="E38" s="16" t="s">
        <v>622</v>
      </c>
      <c r="F38" s="16"/>
      <c r="G38" s="16" t="s">
        <v>623</v>
      </c>
      <c r="H38" s="16" t="s">
        <v>624</v>
      </c>
      <c r="I38" s="16"/>
      <c r="J38" s="16"/>
      <c r="K38" s="16"/>
      <c r="L38" s="16"/>
      <c r="M38" s="16"/>
      <c r="N38" s="16"/>
      <c r="O38" s="7"/>
    </row>
    <row r="39" spans="1:15" ht="47">
      <c r="A39" s="16"/>
      <c r="B39" s="19"/>
      <c r="C39" s="19"/>
      <c r="D39" s="16"/>
      <c r="E39" s="29"/>
      <c r="F39" s="29"/>
      <c r="G39" s="16"/>
      <c r="H39" s="16"/>
      <c r="I39" s="16"/>
      <c r="J39" s="16"/>
      <c r="K39" s="16"/>
      <c r="L39" s="16"/>
      <c r="M39" s="16"/>
      <c r="N39" s="16"/>
      <c r="O39" s="7"/>
    </row>
    <row r="40" spans="1:15" ht="71.25" customHeight="1">
      <c r="A40" s="143"/>
      <c r="B40" s="28">
        <v>1</v>
      </c>
      <c r="C40" s="76">
        <v>45586</v>
      </c>
      <c r="D40" s="71" t="s">
        <v>868</v>
      </c>
      <c r="E40" s="71" t="s">
        <v>869</v>
      </c>
      <c r="F40" s="71">
        <v>40</v>
      </c>
      <c r="G40" s="71" t="s">
        <v>870</v>
      </c>
      <c r="H40" s="71"/>
      <c r="I40" s="71"/>
      <c r="J40" s="71"/>
      <c r="K40" s="71"/>
      <c r="L40" s="71"/>
      <c r="M40" s="71"/>
      <c r="N40" s="74"/>
      <c r="O40" s="7"/>
    </row>
    <row r="41" spans="1:15" ht="105" customHeight="1">
      <c r="A41" s="144"/>
      <c r="B41" s="30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5"/>
      <c r="O41" s="7"/>
    </row>
    <row r="42" spans="1:15" s="8" customFormat="1" ht="126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6" t="s">
        <v>34</v>
      </c>
    </row>
    <row r="43" spans="1:15" ht="61.5" customHeight="1">
      <c r="A43" s="195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7"/>
      <c r="M43" s="167"/>
      <c r="N43" s="167"/>
      <c r="O43" s="7"/>
    </row>
    <row r="44" spans="1:15" ht="48">
      <c r="A44" s="16"/>
      <c r="B44" s="16">
        <v>1</v>
      </c>
      <c r="C44" s="17">
        <v>45608</v>
      </c>
      <c r="D44" s="16" t="s">
        <v>81</v>
      </c>
      <c r="E44" s="16" t="s">
        <v>953</v>
      </c>
      <c r="F44" s="16"/>
      <c r="G44" s="16" t="s">
        <v>954</v>
      </c>
      <c r="H44" s="16"/>
      <c r="I44" s="16"/>
      <c r="J44" s="16"/>
      <c r="K44" s="16"/>
      <c r="L44" s="16"/>
      <c r="M44" s="16"/>
      <c r="N44" s="16"/>
      <c r="O44" s="6"/>
    </row>
    <row r="45" spans="1:15" ht="61.5" customHeight="1">
      <c r="A45" s="195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7"/>
      <c r="M45" s="167"/>
      <c r="N45" s="167"/>
      <c r="O45" s="7"/>
    </row>
    <row r="46" spans="1:15" ht="123.75" customHeight="1">
      <c r="A46" s="16"/>
      <c r="B46" s="28">
        <v>1</v>
      </c>
      <c r="C46" s="17">
        <v>45998</v>
      </c>
      <c r="D46" s="16" t="s">
        <v>988</v>
      </c>
      <c r="E46" s="16" t="s">
        <v>989</v>
      </c>
      <c r="F46" s="16"/>
      <c r="G46" s="16" t="s">
        <v>990</v>
      </c>
      <c r="H46" s="16"/>
      <c r="I46" s="16"/>
      <c r="J46" s="16"/>
      <c r="K46" s="16"/>
      <c r="L46" s="16"/>
      <c r="M46" s="16"/>
      <c r="N46" s="16"/>
      <c r="O46" s="7"/>
    </row>
    <row r="47" spans="1:15" ht="71.25" customHeight="1">
      <c r="A47" s="179"/>
      <c r="B47" s="28">
        <v>2</v>
      </c>
      <c r="C47" s="17">
        <v>46003</v>
      </c>
      <c r="D47" s="16" t="s">
        <v>541</v>
      </c>
      <c r="E47" s="16" t="s">
        <v>991</v>
      </c>
      <c r="F47" s="16"/>
      <c r="G47" s="16" t="s">
        <v>992</v>
      </c>
      <c r="H47" s="16"/>
      <c r="I47" s="16"/>
      <c r="J47" s="16"/>
      <c r="K47" s="16"/>
      <c r="L47" s="16"/>
      <c r="M47" s="16"/>
      <c r="N47" s="16"/>
      <c r="O47" s="164"/>
    </row>
    <row r="48" spans="1:15" ht="71.25" customHeight="1">
      <c r="A48" s="179"/>
      <c r="B48" s="28">
        <v>3</v>
      </c>
      <c r="C48" s="17">
        <v>46014</v>
      </c>
      <c r="D48" s="16" t="s">
        <v>1002</v>
      </c>
      <c r="E48" s="16" t="s">
        <v>1003</v>
      </c>
      <c r="F48" s="16"/>
      <c r="G48" s="16" t="s">
        <v>1004</v>
      </c>
      <c r="H48" s="16"/>
      <c r="I48" s="16"/>
      <c r="J48" s="16"/>
      <c r="K48" s="16"/>
      <c r="L48" s="16"/>
      <c r="M48" s="16"/>
      <c r="N48" s="16"/>
      <c r="O48" s="165"/>
    </row>
    <row r="49" spans="1:15" ht="136" customHeight="1">
      <c r="A49" s="179"/>
      <c r="B49" s="28">
        <v>4</v>
      </c>
      <c r="C49" s="17">
        <v>46021</v>
      </c>
      <c r="D49" s="16" t="s">
        <v>89</v>
      </c>
      <c r="E49" s="16" t="s">
        <v>993</v>
      </c>
      <c r="F49" s="16"/>
      <c r="G49" s="16" t="s">
        <v>994</v>
      </c>
      <c r="H49" s="16"/>
      <c r="I49" s="16"/>
      <c r="J49" s="16"/>
      <c r="K49" s="16"/>
      <c r="L49" s="16"/>
      <c r="M49" s="16"/>
      <c r="N49" s="16"/>
      <c r="O49" s="165"/>
    </row>
    <row r="50" spans="1:15" ht="45" customHeight="1">
      <c r="A50" s="179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6"/>
    </row>
    <row r="51" spans="1:15" s="8" customFormat="1" ht="220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6"/>
    </row>
    <row r="52" spans="1:15" ht="148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6"/>
    </row>
    <row r="53" spans="1:15" ht="133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6"/>
    </row>
    <row r="54" spans="1:15" ht="116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6"/>
    </row>
    <row r="55" spans="1:15" ht="144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6"/>
    </row>
    <row r="56" spans="1:15" ht="43.5" customHeight="1">
      <c r="A56" s="143"/>
      <c r="B56" s="28"/>
      <c r="C56" s="143"/>
      <c r="D56" s="143"/>
      <c r="E56" s="16"/>
      <c r="F56" s="16"/>
      <c r="G56" s="143"/>
      <c r="H56" s="143"/>
      <c r="I56" s="143"/>
      <c r="J56" s="143"/>
      <c r="K56" s="143"/>
      <c r="L56" s="143"/>
      <c r="M56" s="16"/>
      <c r="N56" s="113"/>
      <c r="O56" s="6"/>
    </row>
    <row r="57" spans="1:15" ht="31.5" customHeight="1">
      <c r="A57" s="180"/>
      <c r="B57" s="29"/>
      <c r="C57" s="180"/>
      <c r="D57" s="180"/>
      <c r="E57" s="16"/>
      <c r="F57" s="16"/>
      <c r="G57" s="180"/>
      <c r="H57" s="180"/>
      <c r="I57" s="180"/>
      <c r="J57" s="180"/>
      <c r="K57" s="180"/>
      <c r="L57" s="180"/>
      <c r="M57" s="16"/>
      <c r="N57" s="116"/>
      <c r="O57" s="6"/>
    </row>
    <row r="58" spans="1:15" ht="39" customHeight="1">
      <c r="A58" s="180"/>
      <c r="B58" s="29"/>
      <c r="C58" s="180"/>
      <c r="D58" s="180"/>
      <c r="E58" s="16"/>
      <c r="F58" s="16"/>
      <c r="G58" s="180"/>
      <c r="H58" s="180"/>
      <c r="I58" s="180"/>
      <c r="J58" s="180"/>
      <c r="K58" s="180"/>
      <c r="L58" s="180"/>
      <c r="M58" s="16"/>
      <c r="N58" s="116"/>
      <c r="O58" s="6"/>
    </row>
    <row r="59" spans="1:15" ht="36" customHeight="1">
      <c r="A59" s="180"/>
      <c r="B59" s="29"/>
      <c r="C59" s="180"/>
      <c r="D59" s="180"/>
      <c r="E59" s="16"/>
      <c r="F59" s="16"/>
      <c r="G59" s="180"/>
      <c r="H59" s="180"/>
      <c r="I59" s="180"/>
      <c r="J59" s="180"/>
      <c r="K59" s="180"/>
      <c r="L59" s="180"/>
      <c r="M59" s="16"/>
      <c r="N59" s="116"/>
      <c r="O59" s="6"/>
    </row>
    <row r="60" spans="1:15" ht="36" customHeight="1">
      <c r="A60" s="180"/>
      <c r="B60" s="29"/>
      <c r="C60" s="180"/>
      <c r="D60" s="180"/>
      <c r="E60" s="16"/>
      <c r="F60" s="16"/>
      <c r="G60" s="180"/>
      <c r="H60" s="180"/>
      <c r="I60" s="180"/>
      <c r="J60" s="180"/>
      <c r="K60" s="180"/>
      <c r="L60" s="180"/>
      <c r="M60" s="16"/>
      <c r="N60" s="116"/>
      <c r="O60" s="6"/>
    </row>
    <row r="61" spans="1:15" ht="30" customHeight="1">
      <c r="A61" s="180"/>
      <c r="B61" s="29"/>
      <c r="C61" s="180"/>
      <c r="D61" s="180"/>
      <c r="E61" s="16"/>
      <c r="F61" s="16"/>
      <c r="G61" s="180"/>
      <c r="H61" s="180"/>
      <c r="I61" s="180"/>
      <c r="J61" s="180"/>
      <c r="K61" s="180"/>
      <c r="L61" s="180"/>
      <c r="M61" s="16"/>
      <c r="N61" s="116"/>
      <c r="O61" s="6"/>
    </row>
    <row r="62" spans="1:15" ht="35.25" customHeight="1">
      <c r="A62" s="180"/>
      <c r="B62" s="29"/>
      <c r="C62" s="180"/>
      <c r="D62" s="180"/>
      <c r="E62" s="16"/>
      <c r="F62" s="16"/>
      <c r="G62" s="180"/>
      <c r="H62" s="180"/>
      <c r="I62" s="180"/>
      <c r="J62" s="180"/>
      <c r="K62" s="180"/>
      <c r="L62" s="180"/>
      <c r="M62" s="16"/>
      <c r="N62" s="116"/>
      <c r="O62" s="6"/>
    </row>
    <row r="63" spans="1:15" ht="56.25" customHeight="1">
      <c r="A63" s="180"/>
      <c r="B63" s="29"/>
      <c r="C63" s="180"/>
      <c r="D63" s="180"/>
      <c r="E63" s="16"/>
      <c r="F63" s="16"/>
      <c r="G63" s="180"/>
      <c r="H63" s="180"/>
      <c r="I63" s="180"/>
      <c r="J63" s="180"/>
      <c r="K63" s="180"/>
      <c r="L63" s="180"/>
      <c r="M63" s="16"/>
      <c r="N63" s="116"/>
      <c r="O63" s="6"/>
    </row>
    <row r="64" spans="1:15" ht="52.5" customHeight="1">
      <c r="A64" s="144"/>
      <c r="B64" s="30"/>
      <c r="C64" s="144"/>
      <c r="D64" s="144"/>
      <c r="E64" s="16"/>
      <c r="F64" s="16"/>
      <c r="G64" s="144"/>
      <c r="H64" s="144"/>
      <c r="I64" s="144"/>
      <c r="J64" s="144"/>
      <c r="K64" s="144"/>
      <c r="L64" s="144"/>
      <c r="M64" s="16"/>
      <c r="N64" s="114"/>
      <c r="O64" s="6"/>
    </row>
    <row r="65" spans="1:15" ht="60" customHeight="1">
      <c r="A65" s="143"/>
      <c r="B65" s="28"/>
      <c r="C65" s="143"/>
      <c r="D65" s="143"/>
      <c r="E65" s="16"/>
      <c r="F65" s="16"/>
      <c r="G65" s="143"/>
      <c r="H65" s="143"/>
      <c r="I65" s="143"/>
      <c r="J65" s="143"/>
      <c r="K65" s="143"/>
      <c r="L65" s="16"/>
      <c r="M65" s="16"/>
      <c r="N65" s="113"/>
      <c r="O65" s="6"/>
    </row>
    <row r="66" spans="1:15" ht="47">
      <c r="A66" s="180"/>
      <c r="B66" s="29"/>
      <c r="C66" s="180"/>
      <c r="D66" s="180"/>
      <c r="E66" s="16"/>
      <c r="F66" s="16"/>
      <c r="G66" s="180"/>
      <c r="H66" s="180"/>
      <c r="I66" s="180"/>
      <c r="J66" s="180"/>
      <c r="K66" s="180"/>
      <c r="L66" s="16"/>
      <c r="M66" s="16"/>
      <c r="N66" s="116"/>
      <c r="O66" s="6"/>
    </row>
    <row r="67" spans="1:15" ht="37.5" customHeight="1">
      <c r="A67" s="180"/>
      <c r="B67" s="29"/>
      <c r="C67" s="180"/>
      <c r="D67" s="180"/>
      <c r="E67" s="16"/>
      <c r="F67" s="16"/>
      <c r="G67" s="180"/>
      <c r="H67" s="180"/>
      <c r="I67" s="180"/>
      <c r="J67" s="180"/>
      <c r="K67" s="180"/>
      <c r="L67" s="16"/>
      <c r="M67" s="16"/>
      <c r="N67" s="116"/>
      <c r="O67" s="6"/>
    </row>
    <row r="68" spans="1:15" ht="48.75" customHeight="1">
      <c r="A68" s="144"/>
      <c r="B68" s="30"/>
      <c r="C68" s="144"/>
      <c r="D68" s="144"/>
      <c r="E68" s="16"/>
      <c r="F68" s="16"/>
      <c r="G68" s="144"/>
      <c r="H68" s="144"/>
      <c r="I68" s="144"/>
      <c r="J68" s="144"/>
      <c r="K68" s="144"/>
      <c r="L68" s="16"/>
      <c r="M68" s="16"/>
      <c r="N68" s="114"/>
      <c r="O68" s="6"/>
    </row>
    <row r="69" spans="1:15" ht="30" customHeight="1">
      <c r="A69" s="179"/>
      <c r="B69" s="28"/>
      <c r="C69" s="143"/>
      <c r="D69" s="143"/>
      <c r="E69" s="16"/>
      <c r="F69" s="16"/>
      <c r="G69" s="143"/>
      <c r="H69" s="143"/>
      <c r="I69" s="143"/>
      <c r="J69" s="143"/>
      <c r="K69" s="143"/>
      <c r="L69" s="143"/>
      <c r="M69" s="143"/>
      <c r="N69" s="143"/>
      <c r="O69" s="6"/>
    </row>
    <row r="70" spans="1:15" ht="47">
      <c r="A70" s="179"/>
      <c r="B70" s="29"/>
      <c r="C70" s="180"/>
      <c r="D70" s="180"/>
      <c r="E70" s="16"/>
      <c r="F70" s="16"/>
      <c r="G70" s="180"/>
      <c r="H70" s="180"/>
      <c r="I70" s="180"/>
      <c r="J70" s="180"/>
      <c r="K70" s="180"/>
      <c r="L70" s="180"/>
      <c r="M70" s="180"/>
      <c r="N70" s="180"/>
      <c r="O70" s="7"/>
    </row>
    <row r="71" spans="1:15" ht="47">
      <c r="A71" s="179"/>
      <c r="B71" s="29"/>
      <c r="C71" s="180"/>
      <c r="D71" s="180"/>
      <c r="E71" s="16"/>
      <c r="F71" s="16"/>
      <c r="G71" s="180"/>
      <c r="H71" s="180"/>
      <c r="I71" s="180"/>
      <c r="J71" s="180"/>
      <c r="K71" s="180"/>
      <c r="L71" s="180"/>
      <c r="M71" s="180"/>
      <c r="N71" s="180"/>
      <c r="O71" s="7"/>
    </row>
    <row r="72" spans="1:15" ht="47">
      <c r="A72" s="179"/>
      <c r="B72" s="29"/>
      <c r="C72" s="180"/>
      <c r="D72" s="180"/>
      <c r="E72" s="16"/>
      <c r="F72" s="16"/>
      <c r="G72" s="180"/>
      <c r="H72" s="180"/>
      <c r="I72" s="180"/>
      <c r="J72" s="180"/>
      <c r="K72" s="180"/>
      <c r="L72" s="180"/>
      <c r="M72" s="180"/>
      <c r="N72" s="180"/>
      <c r="O72" s="7"/>
    </row>
    <row r="73" spans="1:15" ht="46.5" customHeight="1">
      <c r="A73" s="179"/>
      <c r="B73" s="30"/>
      <c r="C73" s="144"/>
      <c r="D73" s="144"/>
      <c r="E73" s="16"/>
      <c r="F73" s="16"/>
      <c r="G73" s="144"/>
      <c r="H73" s="144"/>
      <c r="I73" s="144"/>
      <c r="J73" s="144"/>
      <c r="K73" s="144"/>
      <c r="L73" s="144"/>
      <c r="M73" s="144"/>
      <c r="N73" s="144"/>
      <c r="O73" s="7"/>
    </row>
    <row r="74" spans="1:15" ht="114.75" customHeight="1">
      <c r="A74" s="30"/>
      <c r="B74" s="30"/>
      <c r="C74" s="16"/>
      <c r="D74" s="16"/>
      <c r="E74" s="16"/>
      <c r="F74" s="31"/>
      <c r="G74" s="16"/>
      <c r="H74" s="16"/>
      <c r="I74" s="16"/>
      <c r="J74" s="16"/>
      <c r="K74" s="16"/>
      <c r="L74" s="16"/>
      <c r="M74" s="16"/>
      <c r="N74" s="16"/>
      <c r="O74" s="6"/>
    </row>
    <row r="75" spans="1:15" ht="61.5" customHeight="1">
      <c r="A75" s="195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7"/>
      <c r="M75" s="167"/>
      <c r="N75" s="167"/>
      <c r="O75" s="7"/>
    </row>
    <row r="76" spans="1:15" ht="97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6"/>
    </row>
    <row r="77" spans="1:15" ht="135" customHeight="1">
      <c r="A77" s="143"/>
      <c r="B77" s="28"/>
      <c r="C77" s="143"/>
      <c r="D77" s="143"/>
      <c r="E77" s="16"/>
      <c r="F77" s="16"/>
      <c r="G77" s="143"/>
      <c r="H77" s="16"/>
      <c r="I77" s="143"/>
      <c r="J77" s="143"/>
      <c r="K77" s="143"/>
      <c r="L77" s="16"/>
      <c r="M77" s="16"/>
      <c r="N77" s="113"/>
      <c r="O77" s="6"/>
    </row>
    <row r="78" spans="1:15" ht="45" customHeight="1">
      <c r="A78" s="180"/>
      <c r="B78" s="29"/>
      <c r="C78" s="180"/>
      <c r="D78" s="180"/>
      <c r="E78" s="16"/>
      <c r="F78" s="16"/>
      <c r="G78" s="180"/>
      <c r="H78" s="143"/>
      <c r="I78" s="180"/>
      <c r="J78" s="144"/>
      <c r="K78" s="180"/>
      <c r="L78" s="16"/>
      <c r="M78" s="16"/>
      <c r="N78" s="116"/>
      <c r="O78" s="6"/>
    </row>
    <row r="79" spans="1:15" ht="47">
      <c r="A79" s="144"/>
      <c r="B79" s="30"/>
      <c r="C79" s="144"/>
      <c r="D79" s="144"/>
      <c r="E79" s="16"/>
      <c r="F79" s="16"/>
      <c r="G79" s="144"/>
      <c r="H79" s="144"/>
      <c r="I79" s="144"/>
      <c r="J79" s="16"/>
      <c r="K79" s="144"/>
      <c r="L79" s="16"/>
      <c r="M79" s="16"/>
      <c r="N79" s="114"/>
      <c r="O79" s="6"/>
    </row>
    <row r="80" spans="1:15" ht="47">
      <c r="A80" s="16"/>
      <c r="B80" s="16"/>
      <c r="C80" s="16"/>
      <c r="D80" s="16"/>
      <c r="E80" s="31"/>
      <c r="F80" s="31"/>
      <c r="G80" s="16"/>
      <c r="H80" s="31"/>
      <c r="I80" s="31"/>
      <c r="J80" s="16"/>
      <c r="K80" s="16"/>
      <c r="L80" s="16"/>
      <c r="M80" s="16"/>
      <c r="N80" s="16"/>
      <c r="O80" s="6"/>
    </row>
    <row r="81" spans="1:15" ht="47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6"/>
    </row>
    <row r="82" spans="1:15" ht="47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6"/>
    </row>
    <row r="83" spans="1:15" ht="47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6"/>
    </row>
    <row r="84" spans="1:15" ht="83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6"/>
    </row>
    <row r="85" spans="1:15" ht="131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6"/>
    </row>
    <row r="86" spans="1:15" ht="101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6"/>
    </row>
    <row r="87" spans="1:15" ht="4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6"/>
    </row>
    <row r="88" spans="1:15" ht="99" customHeight="1">
      <c r="A88" s="16"/>
      <c r="B88" s="16"/>
      <c r="C88" s="16"/>
      <c r="D88" s="16"/>
      <c r="E88" s="16"/>
      <c r="F88" s="31"/>
      <c r="G88" s="16"/>
      <c r="H88" s="16"/>
      <c r="I88" s="16"/>
      <c r="J88" s="16"/>
      <c r="K88" s="16"/>
      <c r="L88" s="16"/>
      <c r="M88" s="16"/>
      <c r="N88" s="16"/>
      <c r="O88" s="6"/>
    </row>
    <row r="89" spans="1:15" ht="61.5" customHeight="1">
      <c r="A89" s="195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7"/>
      <c r="M89" s="167"/>
      <c r="N89" s="167"/>
      <c r="O89" s="7"/>
    </row>
    <row r="90" spans="1:15" ht="78.75" customHeight="1">
      <c r="A90" s="143"/>
      <c r="B90" s="28"/>
      <c r="C90" s="176"/>
      <c r="D90" s="143"/>
      <c r="E90" s="16"/>
      <c r="F90" s="16"/>
      <c r="G90" s="143"/>
      <c r="H90" s="143"/>
      <c r="I90" s="143"/>
      <c r="J90" s="143"/>
      <c r="K90" s="16"/>
      <c r="L90" s="16"/>
      <c r="M90" s="16"/>
      <c r="N90" s="113"/>
      <c r="O90" s="6"/>
    </row>
    <row r="91" spans="1:15" ht="77.25" customHeight="1">
      <c r="A91" s="144"/>
      <c r="B91" s="30"/>
      <c r="C91" s="183"/>
      <c r="D91" s="144"/>
      <c r="E91" s="16"/>
      <c r="F91" s="16"/>
      <c r="G91" s="144"/>
      <c r="H91" s="144"/>
      <c r="I91" s="144"/>
      <c r="J91" s="144"/>
      <c r="K91" s="17"/>
      <c r="L91" s="17"/>
      <c r="M91" s="16"/>
      <c r="N91" s="114"/>
      <c r="O91" s="6"/>
    </row>
    <row r="92" spans="1:15" ht="105" customHeight="1">
      <c r="A92" s="16"/>
      <c r="B92" s="16"/>
      <c r="C92" s="17"/>
      <c r="D92" s="16"/>
      <c r="E92" s="16"/>
      <c r="F92" s="16"/>
      <c r="G92" s="16"/>
      <c r="H92" s="16"/>
      <c r="I92" s="31"/>
      <c r="J92" s="16"/>
      <c r="K92" s="16"/>
      <c r="L92" s="16"/>
      <c r="M92" s="16"/>
      <c r="N92" s="16"/>
      <c r="O92" s="6"/>
    </row>
    <row r="93" spans="1:15" ht="113.25" customHeight="1">
      <c r="A93" s="16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6"/>
    </row>
    <row r="94" spans="1:15" ht="117" customHeight="1">
      <c r="A94" s="16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6"/>
    </row>
    <row r="95" spans="1:15" ht="190.5" customHeight="1">
      <c r="A95" s="16"/>
      <c r="B95" s="16"/>
      <c r="C95" s="17"/>
      <c r="D95" s="16"/>
      <c r="E95" s="16"/>
      <c r="F95" s="16"/>
      <c r="G95" s="16"/>
      <c r="H95" s="30"/>
      <c r="I95" s="30"/>
      <c r="J95" s="30"/>
      <c r="K95" s="16"/>
      <c r="L95" s="16"/>
      <c r="M95" s="16"/>
      <c r="N95" s="16"/>
      <c r="O95" s="6"/>
    </row>
    <row r="96" spans="1:15" ht="52.5" customHeight="1">
      <c r="A96" s="143"/>
      <c r="B96" s="28"/>
      <c r="C96" s="176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6"/>
      <c r="O96" s="6"/>
    </row>
    <row r="97" spans="1:15" ht="70.5" customHeight="1">
      <c r="A97" s="144"/>
      <c r="B97" s="30"/>
      <c r="C97" s="183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6"/>
      <c r="O97" s="6"/>
    </row>
    <row r="98" spans="1:15" ht="47">
      <c r="A98" s="30"/>
      <c r="B98" s="30"/>
      <c r="C98" s="32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16"/>
      <c r="O98" s="6"/>
    </row>
    <row r="99" spans="1:15" ht="165.75" customHeight="1">
      <c r="A99" s="16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6"/>
    </row>
    <row r="100" spans="1:15" ht="117" customHeight="1">
      <c r="A100" s="16"/>
      <c r="B100" s="16"/>
      <c r="C100" s="17"/>
      <c r="D100" s="16"/>
      <c r="E100" s="16"/>
      <c r="F100" s="16"/>
      <c r="G100" s="16"/>
      <c r="H100" s="16"/>
      <c r="I100" s="16"/>
      <c r="J100" s="16"/>
      <c r="K100" s="17"/>
      <c r="L100" s="17"/>
      <c r="M100" s="16"/>
      <c r="N100" s="16"/>
      <c r="O100" s="6"/>
    </row>
    <row r="101" spans="1:15" ht="123.75" customHeight="1">
      <c r="A101" s="143"/>
      <c r="B101" s="28"/>
      <c r="C101" s="176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6"/>
      <c r="O101" s="6"/>
    </row>
    <row r="102" spans="1:15" ht="60.75" customHeight="1">
      <c r="A102" s="144"/>
      <c r="B102" s="30"/>
      <c r="C102" s="183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6"/>
      <c r="O102" s="6"/>
    </row>
    <row r="103" spans="1:15" ht="213" customHeight="1">
      <c r="A103" s="30"/>
      <c r="B103" s="30"/>
      <c r="C103" s="32"/>
      <c r="D103" s="30"/>
      <c r="E103" s="16"/>
      <c r="F103" s="16"/>
      <c r="G103" s="30"/>
      <c r="H103" s="30"/>
      <c r="I103" s="30"/>
      <c r="J103" s="30"/>
      <c r="K103" s="32"/>
      <c r="L103" s="17"/>
      <c r="M103" s="16"/>
      <c r="N103" s="16"/>
      <c r="O103" s="6"/>
    </row>
    <row r="104" spans="1:15" ht="192" customHeight="1">
      <c r="A104" s="143"/>
      <c r="B104" s="28"/>
      <c r="C104" s="176"/>
      <c r="D104" s="143"/>
      <c r="E104" s="28"/>
      <c r="F104" s="28"/>
      <c r="G104" s="16"/>
      <c r="H104" s="16"/>
      <c r="I104" s="16"/>
      <c r="J104" s="16"/>
      <c r="K104" s="176"/>
      <c r="L104" s="176"/>
      <c r="M104" s="143"/>
      <c r="N104" s="16"/>
      <c r="O104" s="6"/>
    </row>
    <row r="105" spans="1:15" ht="249" customHeight="1">
      <c r="A105" s="144"/>
      <c r="B105" s="30"/>
      <c r="C105" s="183"/>
      <c r="D105" s="144"/>
      <c r="E105" s="28"/>
      <c r="F105" s="30"/>
      <c r="G105" s="30"/>
      <c r="H105" s="16"/>
      <c r="I105" s="16"/>
      <c r="J105" s="16"/>
      <c r="K105" s="183"/>
      <c r="L105" s="144"/>
      <c r="M105" s="144"/>
      <c r="N105" s="16"/>
      <c r="O105" s="6"/>
    </row>
    <row r="106" spans="1:15" ht="249" customHeight="1">
      <c r="A106" s="16"/>
      <c r="B106" s="16"/>
      <c r="C106" s="17"/>
      <c r="D106" s="17"/>
      <c r="E106" s="16"/>
      <c r="F106" s="16"/>
      <c r="G106" s="16"/>
      <c r="H106" s="16"/>
      <c r="I106" s="16"/>
      <c r="J106" s="16"/>
      <c r="K106" s="17"/>
      <c r="L106" s="16"/>
      <c r="M106" s="16"/>
      <c r="N106" s="33"/>
      <c r="O106" s="6"/>
    </row>
    <row r="107" spans="1:15" ht="61.5" customHeight="1">
      <c r="A107" s="198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200"/>
      <c r="M107" s="186"/>
      <c r="N107" s="188"/>
      <c r="O107" s="7"/>
    </row>
    <row r="108" spans="1:15" ht="192" customHeight="1">
      <c r="A108" s="10"/>
      <c r="B108" s="10"/>
      <c r="C108" s="11"/>
      <c r="D108" s="10"/>
      <c r="E108" s="12"/>
      <c r="F108" s="10"/>
      <c r="G108" s="10"/>
      <c r="H108" s="13"/>
      <c r="I108" s="12"/>
      <c r="J108" s="10"/>
      <c r="K108" s="10"/>
      <c r="L108" s="10"/>
      <c r="M108" s="10"/>
      <c r="N108" s="10"/>
      <c r="O108" s="6"/>
    </row>
    <row r="109" spans="1:15" ht="52.5" customHeight="1">
      <c r="A109" s="113"/>
      <c r="B109" s="42"/>
      <c r="C109" s="169"/>
      <c r="D109" s="113"/>
      <c r="E109" s="113"/>
      <c r="F109" s="113"/>
      <c r="G109" s="113"/>
      <c r="H109" s="115"/>
      <c r="I109" s="115"/>
      <c r="J109" s="113"/>
      <c r="K109" s="113"/>
      <c r="L109" s="113"/>
      <c r="M109" s="113"/>
      <c r="N109" s="113"/>
      <c r="O109" s="6"/>
    </row>
    <row r="110" spans="1:15" ht="404.25" customHeight="1">
      <c r="A110" s="114"/>
      <c r="B110" s="12"/>
      <c r="C110" s="170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6"/>
    </row>
    <row r="111" spans="1:15" ht="332.25" customHeight="1">
      <c r="A111" s="12"/>
      <c r="B111" s="12"/>
      <c r="C111" s="14"/>
      <c r="D111" s="12"/>
      <c r="E111" s="12"/>
      <c r="F111" s="12"/>
      <c r="G111" s="12"/>
      <c r="H111" s="12"/>
      <c r="I111" s="12"/>
      <c r="J111" s="12"/>
      <c r="K111" s="14"/>
      <c r="L111" s="14"/>
      <c r="M111" s="12"/>
      <c r="N111" s="12"/>
      <c r="O111" s="6"/>
    </row>
    <row r="112" spans="1:15" ht="318.75" customHeight="1">
      <c r="A112" s="12"/>
      <c r="B112" s="12"/>
      <c r="C112" s="14"/>
      <c r="D112" s="12"/>
      <c r="E112" s="12"/>
      <c r="F112" s="12"/>
      <c r="G112" s="12"/>
      <c r="H112" s="12"/>
      <c r="I112" s="12"/>
      <c r="J112" s="12"/>
      <c r="K112" s="14"/>
      <c r="L112" s="14"/>
      <c r="M112" s="12"/>
      <c r="N112" s="12"/>
      <c r="O112" s="6"/>
    </row>
    <row r="113" spans="1:15" ht="285" customHeight="1">
      <c r="A113" s="10"/>
      <c r="B113" s="10"/>
      <c r="C113" s="11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6"/>
    </row>
    <row r="114" spans="1:15" ht="255" customHeight="1">
      <c r="A114" s="10"/>
      <c r="B114" s="10"/>
      <c r="C114" s="11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6"/>
    </row>
    <row r="115" spans="1:15" ht="346.5" customHeight="1">
      <c r="A115" s="10"/>
      <c r="B115" s="10"/>
      <c r="C115" s="11"/>
      <c r="D115" s="10"/>
      <c r="E115" s="10"/>
      <c r="F115" s="10"/>
      <c r="G115" s="10"/>
      <c r="H115" s="10"/>
      <c r="I115" s="10"/>
      <c r="J115" s="10"/>
      <c r="K115" s="11"/>
      <c r="L115" s="10"/>
      <c r="M115" s="10"/>
      <c r="N115" s="10"/>
      <c r="O115" s="6"/>
    </row>
    <row r="116" spans="1:15" ht="282.75" customHeight="1">
      <c r="A116" s="10"/>
      <c r="B116" s="10"/>
      <c r="C116" s="11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6"/>
    </row>
    <row r="117" spans="1:15" ht="257.25" customHeight="1">
      <c r="A117" s="10"/>
      <c r="B117" s="10"/>
      <c r="C117" s="11"/>
      <c r="D117" s="10"/>
      <c r="E117" s="10"/>
      <c r="F117" s="10"/>
      <c r="G117" s="10"/>
      <c r="H117" s="10"/>
      <c r="I117" s="10"/>
      <c r="J117" s="10"/>
      <c r="K117" s="10"/>
      <c r="L117" s="11"/>
      <c r="M117" s="10"/>
      <c r="N117" s="10"/>
      <c r="O117" s="6"/>
    </row>
    <row r="118" spans="1:15" ht="397.5" customHeight="1">
      <c r="A118" s="10"/>
      <c r="B118" s="10"/>
      <c r="C118" s="11"/>
      <c r="D118" s="10"/>
      <c r="E118" s="10"/>
      <c r="F118" s="10"/>
      <c r="G118" s="10"/>
      <c r="H118" s="10"/>
      <c r="I118" s="10"/>
      <c r="J118" s="10"/>
      <c r="K118" s="11"/>
      <c r="L118" s="11"/>
      <c r="M118" s="10"/>
      <c r="N118" s="10"/>
      <c r="O118" s="6"/>
    </row>
    <row r="119" spans="1:15" ht="282.75" customHeight="1">
      <c r="A119" s="10"/>
      <c r="B119" s="10"/>
      <c r="C119" s="11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6"/>
    </row>
    <row r="120" spans="1:15" ht="297" customHeight="1">
      <c r="A120" s="10"/>
      <c r="B120" s="10"/>
      <c r="C120" s="1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6"/>
    </row>
    <row r="121" spans="1:15" ht="348.75" customHeight="1">
      <c r="A121" s="10"/>
      <c r="B121" s="10"/>
      <c r="C121" s="11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6"/>
    </row>
    <row r="122" spans="1:15" ht="254.25" customHeight="1">
      <c r="A122" s="10"/>
      <c r="B122" s="10"/>
      <c r="C122" s="11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6"/>
    </row>
    <row r="123" spans="1:15" ht="61.5" customHeight="1">
      <c r="A123" s="110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2"/>
      <c r="N123" s="15"/>
      <c r="O123" s="7"/>
    </row>
    <row r="124" spans="1:15" ht="168" hidden="1" customHeight="1">
      <c r="A124" s="16"/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6"/>
    </row>
    <row r="125" spans="1:15" ht="273.75" customHeight="1">
      <c r="A125" s="10"/>
      <c r="B125" s="10"/>
      <c r="C125" s="11"/>
      <c r="D125" s="10"/>
      <c r="E125" s="10"/>
      <c r="F125" s="10"/>
      <c r="G125" s="10"/>
      <c r="H125" s="10"/>
      <c r="I125" s="10"/>
      <c r="J125" s="10"/>
      <c r="K125" s="11"/>
      <c r="L125" s="10"/>
      <c r="M125" s="10"/>
      <c r="N125" s="10"/>
      <c r="O125" s="6"/>
    </row>
    <row r="126" spans="1:15" ht="271.5" customHeight="1">
      <c r="A126" s="113"/>
      <c r="B126" s="42"/>
      <c r="C126" s="169"/>
      <c r="D126" s="113"/>
      <c r="E126" s="10"/>
      <c r="F126" s="10"/>
      <c r="G126" s="10"/>
      <c r="H126" s="113"/>
      <c r="I126" s="113"/>
      <c r="J126" s="113"/>
      <c r="K126" s="169"/>
      <c r="L126" s="10"/>
      <c r="M126" s="10"/>
      <c r="N126" s="113"/>
      <c r="O126" s="6"/>
    </row>
    <row r="127" spans="1:15" ht="222" customHeight="1">
      <c r="A127" s="116"/>
      <c r="B127" s="47"/>
      <c r="C127" s="171"/>
      <c r="D127" s="116"/>
      <c r="E127" s="10"/>
      <c r="F127" s="10"/>
      <c r="G127" s="10"/>
      <c r="H127" s="116"/>
      <c r="I127" s="116"/>
      <c r="J127" s="116"/>
      <c r="K127" s="116"/>
      <c r="L127" s="10"/>
      <c r="M127" s="10"/>
      <c r="N127" s="116"/>
      <c r="O127" s="6"/>
    </row>
    <row r="128" spans="1:15" ht="208.5" customHeight="1">
      <c r="A128" s="114"/>
      <c r="B128" s="12"/>
      <c r="C128" s="170"/>
      <c r="D128" s="114"/>
      <c r="E128" s="10"/>
      <c r="F128" s="10"/>
      <c r="G128" s="10"/>
      <c r="H128" s="114"/>
      <c r="I128" s="114"/>
      <c r="J128" s="114"/>
      <c r="K128" s="114"/>
      <c r="L128" s="10"/>
      <c r="M128" s="10"/>
      <c r="N128" s="114"/>
      <c r="O128" s="6"/>
    </row>
    <row r="129" spans="1:15" ht="366" customHeight="1">
      <c r="A129" s="12"/>
      <c r="B129" s="12"/>
      <c r="C129" s="14"/>
      <c r="D129" s="12"/>
      <c r="E129" s="10"/>
      <c r="F129" s="10"/>
      <c r="G129" s="10"/>
      <c r="H129" s="10"/>
      <c r="I129" s="10"/>
      <c r="J129" s="12"/>
      <c r="K129" s="10"/>
      <c r="L129" s="10"/>
      <c r="M129" s="10"/>
      <c r="N129" s="12"/>
      <c r="O129" s="6"/>
    </row>
    <row r="130" spans="1:15" ht="319.5" customHeight="1">
      <c r="A130" s="10"/>
      <c r="B130" s="10"/>
      <c r="C130" s="11"/>
      <c r="D130" s="10"/>
      <c r="E130" s="10"/>
      <c r="F130" s="10"/>
      <c r="G130" s="10"/>
      <c r="H130" s="10"/>
      <c r="I130" s="10"/>
      <c r="J130" s="10"/>
      <c r="K130" s="11"/>
      <c r="L130" s="10"/>
      <c r="M130" s="10"/>
      <c r="N130" s="10"/>
      <c r="O130" s="6"/>
    </row>
    <row r="131" spans="1:15" ht="240" customHeight="1">
      <c r="A131" s="20"/>
      <c r="B131" s="48"/>
      <c r="C131" s="169"/>
      <c r="D131" s="113"/>
      <c r="E131" s="10"/>
      <c r="F131" s="10"/>
      <c r="G131" s="113"/>
      <c r="H131" s="113"/>
      <c r="I131" s="113"/>
      <c r="J131" s="113"/>
      <c r="K131" s="11"/>
      <c r="L131" s="10"/>
      <c r="M131" s="10"/>
      <c r="N131" s="113"/>
      <c r="O131" s="6"/>
    </row>
    <row r="132" spans="1:15" ht="240" customHeight="1">
      <c r="A132" s="20"/>
      <c r="B132" s="49"/>
      <c r="C132" s="171"/>
      <c r="D132" s="116"/>
      <c r="E132" s="10"/>
      <c r="F132" s="10"/>
      <c r="G132" s="116"/>
      <c r="H132" s="116"/>
      <c r="I132" s="116"/>
      <c r="J132" s="116"/>
      <c r="K132" s="11"/>
      <c r="L132" s="10"/>
      <c r="M132" s="10"/>
      <c r="N132" s="116"/>
      <c r="O132" s="6"/>
    </row>
    <row r="133" spans="1:15" ht="240" customHeight="1">
      <c r="A133" s="20"/>
      <c r="B133" s="49"/>
      <c r="C133" s="171"/>
      <c r="D133" s="116"/>
      <c r="E133" s="10"/>
      <c r="F133" s="10"/>
      <c r="G133" s="114"/>
      <c r="H133" s="114"/>
      <c r="I133" s="114"/>
      <c r="J133" s="114"/>
      <c r="K133" s="11"/>
      <c r="L133" s="10"/>
      <c r="M133" s="10"/>
      <c r="N133" s="114"/>
      <c r="O133" s="6"/>
    </row>
    <row r="134" spans="1:15" ht="408.75" customHeight="1">
      <c r="A134" s="20"/>
      <c r="B134" s="50"/>
      <c r="C134" s="170"/>
      <c r="D134" s="114"/>
      <c r="E134" s="10"/>
      <c r="F134" s="10"/>
      <c r="G134" s="10"/>
      <c r="H134" s="16"/>
      <c r="I134" s="10"/>
      <c r="J134" s="10"/>
      <c r="K134" s="11"/>
      <c r="L134" s="10"/>
      <c r="M134" s="10"/>
      <c r="N134" s="10"/>
      <c r="O134" s="6"/>
    </row>
    <row r="135" spans="1:15" ht="240" customHeight="1">
      <c r="A135" s="20"/>
      <c r="B135" s="48"/>
      <c r="C135" s="169"/>
      <c r="D135" s="113"/>
      <c r="E135" s="10"/>
      <c r="F135" s="10"/>
      <c r="G135" s="113"/>
      <c r="H135" s="113"/>
      <c r="I135" s="113"/>
      <c r="J135" s="113"/>
      <c r="K135" s="169"/>
      <c r="L135" s="10"/>
      <c r="M135" s="10"/>
      <c r="N135" s="113"/>
      <c r="O135" s="6"/>
    </row>
    <row r="136" spans="1:15" ht="240" customHeight="1">
      <c r="A136" s="20"/>
      <c r="B136" s="50"/>
      <c r="C136" s="170"/>
      <c r="D136" s="114"/>
      <c r="E136" s="10"/>
      <c r="F136" s="10"/>
      <c r="G136" s="114"/>
      <c r="H136" s="114"/>
      <c r="I136" s="114"/>
      <c r="J136" s="114"/>
      <c r="K136" s="170"/>
      <c r="L136" s="10"/>
      <c r="M136" s="10"/>
      <c r="N136" s="114"/>
      <c r="O136" s="6"/>
    </row>
    <row r="137" spans="1:15" ht="240" customHeight="1">
      <c r="A137" s="20"/>
      <c r="B137" s="48"/>
      <c r="C137" s="169"/>
      <c r="D137" s="113"/>
      <c r="E137" s="113"/>
      <c r="F137" s="115"/>
      <c r="G137" s="10"/>
      <c r="H137" s="10"/>
      <c r="I137" s="10"/>
      <c r="J137" s="10"/>
      <c r="K137" s="11"/>
      <c r="L137" s="10"/>
      <c r="M137" s="10"/>
      <c r="N137" s="10"/>
      <c r="O137" s="6"/>
    </row>
    <row r="138" spans="1:15" ht="240" customHeight="1">
      <c r="A138" s="20"/>
      <c r="B138" s="50"/>
      <c r="C138" s="170"/>
      <c r="D138" s="114"/>
      <c r="E138" s="114"/>
      <c r="F138" s="201"/>
      <c r="G138" s="10"/>
      <c r="H138" s="10"/>
      <c r="I138" s="10"/>
      <c r="J138" s="10"/>
      <c r="K138" s="11"/>
      <c r="L138" s="10"/>
      <c r="M138" s="10"/>
      <c r="N138" s="10"/>
      <c r="O138" s="6"/>
    </row>
    <row r="139" spans="1:15" ht="240" customHeight="1">
      <c r="A139" s="20"/>
      <c r="B139" s="20"/>
      <c r="C139" s="11"/>
      <c r="D139" s="10"/>
      <c r="E139" s="10"/>
      <c r="F139" s="10"/>
      <c r="G139" s="10"/>
      <c r="H139" s="10"/>
      <c r="I139" s="10"/>
      <c r="J139" s="10"/>
      <c r="K139" s="11"/>
      <c r="L139" s="10"/>
      <c r="M139" s="10"/>
      <c r="N139" s="10"/>
      <c r="O139" s="6"/>
    </row>
    <row r="140" spans="1:15" ht="240" customHeight="1">
      <c r="A140" s="20"/>
      <c r="B140" s="20"/>
      <c r="C140" s="11"/>
      <c r="D140" s="10"/>
      <c r="E140" s="10"/>
      <c r="F140" s="10"/>
      <c r="G140" s="10"/>
      <c r="H140" s="10"/>
      <c r="I140" s="10"/>
      <c r="J140" s="10"/>
      <c r="K140" s="11"/>
      <c r="L140" s="10"/>
      <c r="M140" s="10"/>
      <c r="N140" s="10"/>
      <c r="O140" s="6"/>
    </row>
    <row r="141" spans="1:15" ht="240" customHeight="1">
      <c r="A141" s="20"/>
      <c r="B141" s="20"/>
      <c r="C141" s="11"/>
      <c r="D141" s="10"/>
      <c r="E141" s="10"/>
      <c r="F141" s="10"/>
      <c r="G141" s="10"/>
      <c r="H141" s="10"/>
      <c r="I141" s="10"/>
      <c r="J141" s="10"/>
      <c r="K141" s="11"/>
      <c r="L141" s="10"/>
      <c r="M141" s="10"/>
      <c r="N141" s="10"/>
      <c r="O141" s="6"/>
    </row>
    <row r="142" spans="1:15" ht="352.5" customHeight="1">
      <c r="A142" s="20"/>
      <c r="B142" s="20"/>
      <c r="C142" s="11"/>
      <c r="D142" s="10"/>
      <c r="E142" s="10"/>
      <c r="F142" s="10"/>
      <c r="G142" s="10"/>
      <c r="H142" s="12"/>
      <c r="I142" s="12"/>
      <c r="J142" s="12"/>
      <c r="K142" s="11"/>
      <c r="L142" s="10"/>
      <c r="M142" s="10"/>
      <c r="N142" s="10"/>
      <c r="O142" s="6"/>
    </row>
    <row r="143" spans="1:15" ht="240" customHeight="1">
      <c r="A143" s="20"/>
      <c r="B143" s="20"/>
      <c r="C143" s="11"/>
      <c r="D143" s="10"/>
      <c r="E143" s="10"/>
      <c r="F143" s="10"/>
      <c r="G143" s="10"/>
      <c r="H143" s="30"/>
      <c r="I143" s="30"/>
      <c r="J143" s="30"/>
      <c r="K143" s="11"/>
      <c r="L143" s="10"/>
      <c r="M143" s="10"/>
      <c r="N143" s="10"/>
      <c r="O143" s="6"/>
    </row>
    <row r="144" spans="1:15" ht="240" customHeight="1">
      <c r="A144" s="20"/>
      <c r="B144" s="20"/>
      <c r="C144" s="11"/>
      <c r="D144" s="10"/>
      <c r="E144" s="10"/>
      <c r="F144" s="10"/>
      <c r="G144" s="10"/>
      <c r="H144" s="10"/>
      <c r="I144" s="10"/>
      <c r="J144" s="10"/>
      <c r="K144" s="11"/>
      <c r="L144" s="10"/>
      <c r="M144" s="10"/>
      <c r="N144" s="10"/>
      <c r="O144" s="6"/>
    </row>
    <row r="145" spans="1:15" ht="240" customHeight="1">
      <c r="A145" s="20"/>
      <c r="B145" s="48"/>
      <c r="C145" s="169"/>
      <c r="D145" s="113"/>
      <c r="E145" s="10"/>
      <c r="F145" s="10"/>
      <c r="G145" s="113"/>
      <c r="H145" s="113"/>
      <c r="I145" s="113"/>
      <c r="J145" s="113"/>
      <c r="K145" s="169"/>
      <c r="L145" s="169"/>
      <c r="M145" s="113"/>
      <c r="N145" s="113"/>
      <c r="O145" s="6"/>
    </row>
    <row r="146" spans="1:15" ht="240" customHeight="1">
      <c r="A146" s="20"/>
      <c r="B146" s="50"/>
      <c r="C146" s="170"/>
      <c r="D146" s="114"/>
      <c r="E146" s="10"/>
      <c r="F146" s="10"/>
      <c r="G146" s="114"/>
      <c r="H146" s="114"/>
      <c r="I146" s="114"/>
      <c r="J146" s="114"/>
      <c r="K146" s="170"/>
      <c r="L146" s="114"/>
      <c r="M146" s="114"/>
      <c r="N146" s="114"/>
      <c r="O146" s="6"/>
    </row>
    <row r="147" spans="1:15" ht="240" customHeight="1">
      <c r="A147" s="20"/>
      <c r="B147" s="20"/>
      <c r="C147" s="11"/>
      <c r="D147" s="10"/>
      <c r="E147" s="10"/>
      <c r="F147" s="10"/>
      <c r="G147" s="10"/>
      <c r="H147" s="10"/>
      <c r="I147" s="10"/>
      <c r="J147" s="10"/>
      <c r="K147" s="11"/>
      <c r="L147" s="10"/>
      <c r="M147" s="10"/>
      <c r="N147" s="10"/>
      <c r="O147" s="6"/>
    </row>
    <row r="148" spans="1:15" ht="61.5" customHeight="1">
      <c r="A148" s="110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2"/>
      <c r="N148" s="35"/>
      <c r="O148" s="7"/>
    </row>
    <row r="149" spans="1:15" ht="240" customHeight="1">
      <c r="A149" s="20"/>
      <c r="B149" s="20"/>
      <c r="C149" s="11"/>
      <c r="D149" s="10"/>
      <c r="E149" s="10"/>
      <c r="F149" s="10"/>
      <c r="G149" s="10"/>
      <c r="H149" s="10"/>
      <c r="I149" s="10"/>
      <c r="J149" s="10"/>
      <c r="K149" s="11"/>
      <c r="L149" s="10"/>
      <c r="M149" s="10"/>
      <c r="N149" s="10"/>
      <c r="O149" s="6"/>
    </row>
    <row r="150" spans="1:15" ht="240" customHeight="1">
      <c r="A150" s="20"/>
      <c r="B150" s="20"/>
      <c r="C150" s="11"/>
      <c r="D150" s="10"/>
      <c r="E150" s="10"/>
      <c r="F150" s="10"/>
      <c r="G150" s="10"/>
      <c r="H150" s="10"/>
      <c r="I150" s="10"/>
      <c r="J150" s="10"/>
      <c r="K150" s="11"/>
      <c r="L150" s="10"/>
      <c r="M150" s="10"/>
      <c r="N150" s="10"/>
      <c r="O150" s="6"/>
    </row>
    <row r="151" spans="1:15" ht="240" customHeight="1">
      <c r="A151" s="20"/>
      <c r="B151" s="20"/>
      <c r="C151" s="11"/>
      <c r="D151" s="10"/>
      <c r="E151" s="10"/>
      <c r="F151" s="10"/>
      <c r="G151" s="10"/>
      <c r="H151" s="10"/>
      <c r="I151" s="10"/>
      <c r="J151" s="10"/>
      <c r="K151" s="11"/>
      <c r="L151" s="10"/>
      <c r="M151" s="10"/>
      <c r="N151" s="10"/>
      <c r="O151" s="6"/>
    </row>
    <row r="152" spans="1:15" ht="240" customHeight="1">
      <c r="A152" s="20"/>
      <c r="B152" s="20"/>
      <c r="C152" s="11"/>
      <c r="D152" s="10"/>
      <c r="E152" s="10"/>
      <c r="F152" s="10"/>
      <c r="G152" s="10"/>
      <c r="H152" s="10"/>
      <c r="I152" s="10"/>
      <c r="J152" s="10"/>
      <c r="K152" s="11"/>
      <c r="L152" s="10"/>
      <c r="M152" s="10"/>
      <c r="N152" s="10"/>
      <c r="O152" s="6"/>
    </row>
    <row r="153" spans="1:15" ht="240" customHeight="1">
      <c r="A153" s="20"/>
      <c r="B153" s="48"/>
      <c r="C153" s="169"/>
      <c r="D153" s="113"/>
      <c r="E153" s="13"/>
      <c r="F153" s="10"/>
      <c r="G153" s="10"/>
      <c r="H153" s="10"/>
      <c r="I153" s="10"/>
      <c r="J153" s="10"/>
      <c r="K153" s="11"/>
      <c r="L153" s="10"/>
      <c r="M153" s="10"/>
      <c r="N153" s="10"/>
      <c r="O153" s="6"/>
    </row>
    <row r="154" spans="1:15" ht="240" customHeight="1">
      <c r="A154" s="20"/>
      <c r="B154" s="50"/>
      <c r="C154" s="170"/>
      <c r="D154" s="114"/>
      <c r="E154" s="10"/>
      <c r="F154" s="10"/>
      <c r="G154" s="10"/>
      <c r="H154" s="10"/>
      <c r="I154" s="10"/>
      <c r="J154" s="10"/>
      <c r="K154" s="11"/>
      <c r="L154" s="10"/>
      <c r="M154" s="10"/>
      <c r="N154" s="10"/>
      <c r="O154" s="6"/>
    </row>
    <row r="155" spans="1:15" ht="240" customHeight="1">
      <c r="A155" s="20"/>
      <c r="B155" s="20"/>
      <c r="C155" s="11"/>
      <c r="D155" s="12"/>
      <c r="E155" s="10"/>
      <c r="F155" s="10"/>
      <c r="G155" s="10"/>
      <c r="H155" s="10"/>
      <c r="I155" s="10"/>
      <c r="J155" s="10"/>
      <c r="K155" s="11"/>
      <c r="L155" s="10"/>
      <c r="M155" s="10"/>
      <c r="N155" s="10"/>
      <c r="O155" s="6"/>
    </row>
    <row r="156" spans="1:15" ht="93.75" customHeight="1">
      <c r="A156" s="20"/>
      <c r="B156" s="48"/>
      <c r="C156" s="169"/>
      <c r="D156" s="113"/>
      <c r="E156" s="10"/>
      <c r="F156" s="10"/>
      <c r="G156" s="113"/>
      <c r="H156" s="10"/>
      <c r="I156" s="10"/>
      <c r="J156" s="10"/>
      <c r="K156" s="169"/>
      <c r="L156" s="10"/>
      <c r="M156" s="10"/>
      <c r="N156" s="10"/>
      <c r="O156" s="6"/>
    </row>
    <row r="157" spans="1:15" ht="75.75" customHeight="1">
      <c r="A157" s="20"/>
      <c r="B157" s="49"/>
      <c r="C157" s="171"/>
      <c r="D157" s="116"/>
      <c r="E157" s="10"/>
      <c r="F157" s="10"/>
      <c r="G157" s="116"/>
      <c r="H157" s="10"/>
      <c r="I157" s="10"/>
      <c r="J157" s="10"/>
      <c r="K157" s="171"/>
      <c r="L157" s="10"/>
      <c r="M157" s="10"/>
      <c r="N157" s="10"/>
      <c r="O157" s="6"/>
    </row>
    <row r="158" spans="1:15" ht="94.5" customHeight="1">
      <c r="A158" s="20"/>
      <c r="B158" s="50"/>
      <c r="C158" s="170"/>
      <c r="D158" s="114"/>
      <c r="E158" s="10"/>
      <c r="F158" s="10"/>
      <c r="G158" s="114"/>
      <c r="H158" s="10"/>
      <c r="I158" s="10"/>
      <c r="J158" s="10"/>
      <c r="K158" s="170"/>
      <c r="L158" s="10"/>
      <c r="M158" s="10"/>
      <c r="N158" s="10"/>
      <c r="O158" s="6"/>
    </row>
    <row r="159" spans="1:15" ht="120.75" customHeight="1">
      <c r="A159" s="20"/>
      <c r="B159" s="48"/>
      <c r="C159" s="169"/>
      <c r="D159" s="113"/>
      <c r="E159" s="10"/>
      <c r="F159" s="10"/>
      <c r="G159" s="10"/>
      <c r="H159" s="10"/>
      <c r="I159" s="10"/>
      <c r="J159" s="10"/>
      <c r="K159" s="11"/>
      <c r="L159" s="10"/>
      <c r="M159" s="10"/>
      <c r="N159" s="10"/>
      <c r="O159" s="6"/>
    </row>
    <row r="160" spans="1:15" ht="202.5" customHeight="1">
      <c r="A160" s="20"/>
      <c r="B160" s="50"/>
      <c r="C160" s="170"/>
      <c r="D160" s="114"/>
      <c r="E160" s="10"/>
      <c r="F160" s="10"/>
      <c r="G160" s="10"/>
      <c r="H160" s="10"/>
      <c r="I160" s="10"/>
      <c r="J160" s="10"/>
      <c r="K160" s="11"/>
      <c r="L160" s="10"/>
      <c r="M160" s="10"/>
      <c r="N160" s="10"/>
      <c r="O160" s="6"/>
    </row>
    <row r="161" spans="1:24" ht="240" customHeight="1">
      <c r="A161" s="20"/>
      <c r="B161" s="20"/>
      <c r="C161" s="11"/>
      <c r="D161" s="10"/>
      <c r="E161" s="10"/>
      <c r="F161" s="10"/>
      <c r="G161" s="10"/>
      <c r="H161" s="10"/>
      <c r="I161" s="10"/>
      <c r="J161" s="10"/>
      <c r="K161" s="11"/>
      <c r="L161" s="10"/>
      <c r="M161" s="10"/>
      <c r="N161" s="10"/>
      <c r="O161" s="6"/>
    </row>
    <row r="162" spans="1:24" ht="240" customHeight="1">
      <c r="A162" s="20"/>
      <c r="B162" s="20"/>
      <c r="C162" s="11"/>
      <c r="D162" s="10"/>
      <c r="E162" s="10"/>
      <c r="F162" s="10"/>
      <c r="G162" s="10"/>
      <c r="H162" s="10"/>
      <c r="I162" s="10"/>
      <c r="J162" s="10"/>
      <c r="K162" s="11"/>
      <c r="L162" s="10"/>
      <c r="M162" s="10"/>
      <c r="N162" s="10"/>
      <c r="O162" s="6"/>
      <c r="X162" s="9" t="s">
        <v>68</v>
      </c>
    </row>
    <row r="163" spans="1:24" ht="352.5" customHeight="1">
      <c r="A163" s="20"/>
      <c r="B163" s="48"/>
      <c r="C163" s="169"/>
      <c r="D163" s="113"/>
      <c r="E163" s="10"/>
      <c r="F163" s="10"/>
      <c r="G163" s="10"/>
      <c r="H163" s="10"/>
      <c r="I163" s="10"/>
      <c r="J163" s="10"/>
      <c r="K163" s="11"/>
      <c r="L163" s="10"/>
      <c r="M163" s="10"/>
      <c r="N163" s="10"/>
      <c r="O163" s="6"/>
    </row>
    <row r="164" spans="1:24" ht="240" customHeight="1">
      <c r="A164" s="20"/>
      <c r="B164" s="50"/>
      <c r="C164" s="170"/>
      <c r="D164" s="114"/>
      <c r="E164" s="10"/>
      <c r="F164" s="10"/>
      <c r="G164" s="10"/>
      <c r="H164" s="16"/>
      <c r="I164" s="16"/>
      <c r="J164" s="16"/>
      <c r="K164" s="11"/>
      <c r="L164" s="10"/>
      <c r="M164" s="10"/>
      <c r="N164" s="10"/>
      <c r="O164" s="6"/>
    </row>
    <row r="165" spans="1:24" ht="240" customHeight="1">
      <c r="A165" s="20"/>
      <c r="B165" s="50"/>
      <c r="C165" s="14"/>
      <c r="D165" s="12"/>
      <c r="E165" s="10"/>
      <c r="F165" s="10"/>
      <c r="G165" s="10"/>
      <c r="H165" s="30"/>
      <c r="I165" s="30"/>
      <c r="J165" s="30"/>
      <c r="K165" s="11"/>
      <c r="L165" s="10"/>
      <c r="M165" s="10"/>
      <c r="N165" s="10"/>
      <c r="O165" s="6"/>
    </row>
    <row r="166" spans="1:24" ht="240" customHeight="1">
      <c r="A166" s="20"/>
      <c r="B166" s="48"/>
      <c r="C166" s="169"/>
      <c r="D166" s="113"/>
      <c r="E166" s="10"/>
      <c r="F166" s="10"/>
      <c r="G166" s="113"/>
      <c r="H166" s="10"/>
      <c r="I166" s="10"/>
      <c r="J166" s="10"/>
      <c r="K166" s="169"/>
      <c r="L166" s="10"/>
      <c r="M166" s="10"/>
      <c r="N166" s="10"/>
      <c r="O166" s="6"/>
    </row>
    <row r="167" spans="1:24" ht="240" customHeight="1">
      <c r="A167" s="20"/>
      <c r="B167" s="50"/>
      <c r="C167" s="170"/>
      <c r="D167" s="114"/>
      <c r="E167" s="10"/>
      <c r="G167" s="114"/>
      <c r="I167" s="10"/>
      <c r="J167" s="10"/>
      <c r="K167" s="170"/>
      <c r="L167" s="10"/>
      <c r="M167" s="10"/>
      <c r="N167" s="10"/>
      <c r="O167" s="6"/>
    </row>
    <row r="168" spans="1:24" ht="240" customHeight="1">
      <c r="A168" s="20"/>
      <c r="B168" s="48"/>
      <c r="C168" s="169"/>
      <c r="D168" s="113"/>
      <c r="E168" s="10"/>
      <c r="F168" s="10"/>
      <c r="G168" s="10"/>
      <c r="H168" s="10"/>
      <c r="I168" s="10"/>
      <c r="J168" s="10"/>
      <c r="K168" s="11"/>
      <c r="L168" s="10"/>
      <c r="M168" s="10"/>
      <c r="N168" s="10"/>
      <c r="O168" s="6"/>
    </row>
    <row r="169" spans="1:24" ht="240" customHeight="1">
      <c r="A169" s="20"/>
      <c r="B169" s="50"/>
      <c r="C169" s="170"/>
      <c r="D169" s="114"/>
      <c r="E169" s="10"/>
      <c r="F169" s="10"/>
      <c r="G169" s="10"/>
      <c r="H169" s="10"/>
      <c r="I169" s="10"/>
      <c r="J169" s="10"/>
      <c r="K169" s="11"/>
      <c r="L169" s="10"/>
      <c r="M169" s="10"/>
      <c r="N169" s="10"/>
      <c r="O169" s="6"/>
    </row>
    <row r="170" spans="1:24" ht="240" customHeight="1">
      <c r="A170" s="20"/>
      <c r="B170" s="48"/>
      <c r="C170" s="169"/>
      <c r="D170" s="113"/>
      <c r="E170" s="10"/>
      <c r="F170" s="10"/>
      <c r="G170" s="113"/>
      <c r="H170" s="113"/>
      <c r="I170" s="113"/>
      <c r="J170" s="113"/>
      <c r="K170" s="11"/>
      <c r="L170" s="10"/>
      <c r="M170" s="10"/>
      <c r="N170" s="10"/>
      <c r="O170" s="6"/>
    </row>
    <row r="171" spans="1:24" ht="240" customHeight="1">
      <c r="A171" s="20"/>
      <c r="B171" s="49"/>
      <c r="C171" s="171"/>
      <c r="D171" s="116"/>
      <c r="E171" s="10"/>
      <c r="F171" s="10"/>
      <c r="G171" s="114"/>
      <c r="H171" s="114"/>
      <c r="I171" s="114"/>
      <c r="J171" s="114"/>
      <c r="K171" s="11"/>
      <c r="L171" s="10"/>
      <c r="M171" s="10"/>
      <c r="N171" s="10"/>
      <c r="O171" s="6"/>
    </row>
    <row r="172" spans="1:24" ht="240" customHeight="1">
      <c r="A172" s="20"/>
      <c r="B172" s="50"/>
      <c r="C172" s="170"/>
      <c r="D172" s="114"/>
      <c r="E172" s="10"/>
      <c r="F172" s="10"/>
      <c r="G172" s="12"/>
      <c r="H172" s="16"/>
      <c r="I172" s="16"/>
      <c r="J172" s="16"/>
      <c r="K172" s="11"/>
      <c r="L172" s="10"/>
      <c r="M172" s="10"/>
      <c r="N172" s="10"/>
      <c r="O172" s="6"/>
    </row>
    <row r="173" spans="1:24" ht="61.5" customHeight="1">
      <c r="A173" s="110" t="s">
        <v>8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2"/>
      <c r="N173" s="35">
        <v>15</v>
      </c>
      <c r="O173" s="7"/>
    </row>
    <row r="174" spans="1:24" ht="36" customHeight="1">
      <c r="A174" s="18"/>
      <c r="B174" s="18"/>
      <c r="C174" s="18" t="s">
        <v>69</v>
      </c>
      <c r="D174" s="18"/>
      <c r="E174" s="18"/>
      <c r="F174" s="18"/>
      <c r="G174" s="18"/>
      <c r="H174" s="19"/>
      <c r="I174" s="19"/>
      <c r="J174" s="181" t="e" vm="1">
        <v>#VALUE!</v>
      </c>
      <c r="K174" s="181"/>
      <c r="L174" s="18"/>
      <c r="M174" s="18"/>
      <c r="N174" s="18"/>
    </row>
    <row r="175" spans="1:24" ht="36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1"/>
      <c r="K175" s="181"/>
      <c r="L175" s="18"/>
      <c r="M175" s="18"/>
      <c r="N175" s="18"/>
    </row>
    <row r="176" spans="1:24" ht="36" customHeight="1">
      <c r="A176" s="18"/>
      <c r="B176" s="18"/>
      <c r="C176" s="18"/>
      <c r="D176" s="18"/>
      <c r="E176" s="18"/>
      <c r="F176" s="18"/>
      <c r="G176" s="18" t="s">
        <v>8</v>
      </c>
      <c r="H176" s="18"/>
      <c r="I176" s="18"/>
      <c r="J176" s="181"/>
      <c r="K176" s="181"/>
      <c r="L176" s="18"/>
      <c r="M176" s="18"/>
      <c r="N176" s="18"/>
    </row>
    <row r="177" spans="1:14" ht="47">
      <c r="A177" s="18"/>
      <c r="B177" s="18"/>
      <c r="C177" s="18"/>
      <c r="D177" s="18"/>
      <c r="E177" s="18"/>
      <c r="F177" s="18"/>
      <c r="G177" s="18"/>
      <c r="H177" s="18"/>
      <c r="I177" s="18"/>
      <c r="J177" s="181" t="s">
        <v>51</v>
      </c>
      <c r="K177" s="181"/>
      <c r="L177" s="18"/>
      <c r="M177" s="18"/>
      <c r="N177" s="18"/>
    </row>
    <row r="178" spans="1:14" ht="47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</sheetData>
  <autoFilter ref="A4:O123" xr:uid="{00000000-0009-0000-0000-000007000000}"/>
  <mergeCells count="187">
    <mergeCell ref="I170:I171"/>
    <mergeCell ref="J170:J171"/>
    <mergeCell ref="A173:M173"/>
    <mergeCell ref="J174:K176"/>
    <mergeCell ref="J177:K177"/>
    <mergeCell ref="C168:C169"/>
    <mergeCell ref="D168:D169"/>
    <mergeCell ref="C170:C172"/>
    <mergeCell ref="D170:D172"/>
    <mergeCell ref="G170:G171"/>
    <mergeCell ref="H170:H171"/>
    <mergeCell ref="C163:C164"/>
    <mergeCell ref="D163:D164"/>
    <mergeCell ref="C166:C167"/>
    <mergeCell ref="D166:D167"/>
    <mergeCell ref="G166:G167"/>
    <mergeCell ref="K166:K167"/>
    <mergeCell ref="C156:C158"/>
    <mergeCell ref="D156:D158"/>
    <mergeCell ref="G156:G158"/>
    <mergeCell ref="K156:K158"/>
    <mergeCell ref="C159:C160"/>
    <mergeCell ref="D159:D160"/>
    <mergeCell ref="K145:K146"/>
    <mergeCell ref="L145:L146"/>
    <mergeCell ref="M145:M146"/>
    <mergeCell ref="N145:N146"/>
    <mergeCell ref="A148:M148"/>
    <mergeCell ref="C153:C154"/>
    <mergeCell ref="D153:D154"/>
    <mergeCell ref="C145:C146"/>
    <mergeCell ref="D145:D146"/>
    <mergeCell ref="G145:G146"/>
    <mergeCell ref="H145:H146"/>
    <mergeCell ref="I145:I146"/>
    <mergeCell ref="J145:J146"/>
    <mergeCell ref="C137:C138"/>
    <mergeCell ref="D137:D138"/>
    <mergeCell ref="E137:E138"/>
    <mergeCell ref="F137:F138"/>
    <mergeCell ref="C135:C136"/>
    <mergeCell ref="D135:D136"/>
    <mergeCell ref="G135:G136"/>
    <mergeCell ref="H135:H136"/>
    <mergeCell ref="I135:I136"/>
    <mergeCell ref="N126:N128"/>
    <mergeCell ref="C131:C134"/>
    <mergeCell ref="D131:D134"/>
    <mergeCell ref="G131:G133"/>
    <mergeCell ref="H131:H133"/>
    <mergeCell ref="I131:I133"/>
    <mergeCell ref="J131:J133"/>
    <mergeCell ref="N131:N133"/>
    <mergeCell ref="K135:K136"/>
    <mergeCell ref="N135:N136"/>
    <mergeCell ref="J135:J136"/>
    <mergeCell ref="A126:A128"/>
    <mergeCell ref="C126:C128"/>
    <mergeCell ref="D126:D128"/>
    <mergeCell ref="H126:H128"/>
    <mergeCell ref="I126:I128"/>
    <mergeCell ref="J126:J128"/>
    <mergeCell ref="J109:J110"/>
    <mergeCell ref="K109:K110"/>
    <mergeCell ref="L109:L110"/>
    <mergeCell ref="K126:K128"/>
    <mergeCell ref="M109:M110"/>
    <mergeCell ref="N109:N110"/>
    <mergeCell ref="A123:M123"/>
    <mergeCell ref="A107:L107"/>
    <mergeCell ref="M107:N107"/>
    <mergeCell ref="A109:A110"/>
    <mergeCell ref="C109:C110"/>
    <mergeCell ref="D109:D110"/>
    <mergeCell ref="E109:E110"/>
    <mergeCell ref="F109:F110"/>
    <mergeCell ref="G109:G110"/>
    <mergeCell ref="H109:H110"/>
    <mergeCell ref="I109:I110"/>
    <mergeCell ref="A104:A105"/>
    <mergeCell ref="C104:C105"/>
    <mergeCell ref="D104:D105"/>
    <mergeCell ref="K104:K105"/>
    <mergeCell ref="L104:L105"/>
    <mergeCell ref="M104:M105"/>
    <mergeCell ref="G101:G102"/>
    <mergeCell ref="H101:H102"/>
    <mergeCell ref="I101:I102"/>
    <mergeCell ref="J101:J102"/>
    <mergeCell ref="K101:K102"/>
    <mergeCell ref="L101:L102"/>
    <mergeCell ref="K96:K97"/>
    <mergeCell ref="L96:L97"/>
    <mergeCell ref="M96:M97"/>
    <mergeCell ref="A101:A102"/>
    <mergeCell ref="C101:C102"/>
    <mergeCell ref="D101:D102"/>
    <mergeCell ref="E101:E102"/>
    <mergeCell ref="F101:F102"/>
    <mergeCell ref="M101:M102"/>
    <mergeCell ref="A96:A97"/>
    <mergeCell ref="C96:C97"/>
    <mergeCell ref="D96:D97"/>
    <mergeCell ref="E96:E97"/>
    <mergeCell ref="F96:F97"/>
    <mergeCell ref="G96:G97"/>
    <mergeCell ref="H96:H97"/>
    <mergeCell ref="I96:I97"/>
    <mergeCell ref="J96:J97"/>
    <mergeCell ref="K77:K79"/>
    <mergeCell ref="N77:N79"/>
    <mergeCell ref="H78:H79"/>
    <mergeCell ref="A89:L89"/>
    <mergeCell ref="M89:N89"/>
    <mergeCell ref="A90:A91"/>
    <mergeCell ref="C90:C91"/>
    <mergeCell ref="D90:D91"/>
    <mergeCell ref="G90:G91"/>
    <mergeCell ref="H90:H91"/>
    <mergeCell ref="A77:A79"/>
    <mergeCell ref="C77:C79"/>
    <mergeCell ref="D77:D79"/>
    <mergeCell ref="G77:G79"/>
    <mergeCell ref="I77:I79"/>
    <mergeCell ref="J77:J78"/>
    <mergeCell ref="I90:I91"/>
    <mergeCell ref="J90:J91"/>
    <mergeCell ref="N90:N91"/>
    <mergeCell ref="N56:N64"/>
    <mergeCell ref="N69:N73"/>
    <mergeCell ref="A75:L75"/>
    <mergeCell ref="M75:N75"/>
    <mergeCell ref="I65:I68"/>
    <mergeCell ref="J65:J68"/>
    <mergeCell ref="K65:K68"/>
    <mergeCell ref="N65:N68"/>
    <mergeCell ref="A69:A73"/>
    <mergeCell ref="C69:C73"/>
    <mergeCell ref="D69:D73"/>
    <mergeCell ref="G69:G73"/>
    <mergeCell ref="H69:H73"/>
    <mergeCell ref="I69:I73"/>
    <mergeCell ref="A65:A68"/>
    <mergeCell ref="C65:C68"/>
    <mergeCell ref="D65:D68"/>
    <mergeCell ref="G65:G68"/>
    <mergeCell ref="H65:H68"/>
    <mergeCell ref="J69:J73"/>
    <mergeCell ref="K69:K73"/>
    <mergeCell ref="L69:L73"/>
    <mergeCell ref="M69:M73"/>
    <mergeCell ref="A56:A64"/>
    <mergeCell ref="C56:C64"/>
    <mergeCell ref="D56:D64"/>
    <mergeCell ref="G56:G64"/>
    <mergeCell ref="H56:H64"/>
    <mergeCell ref="I56:I64"/>
    <mergeCell ref="J56:J64"/>
    <mergeCell ref="K56:K64"/>
    <mergeCell ref="L56:L64"/>
    <mergeCell ref="A40:A41"/>
    <mergeCell ref="A45:L45"/>
    <mergeCell ref="A47:A50"/>
    <mergeCell ref="O47:O50"/>
    <mergeCell ref="M45:N45"/>
    <mergeCell ref="D6:D9"/>
    <mergeCell ref="E8:E9"/>
    <mergeCell ref="K8:K9"/>
    <mergeCell ref="A21:L21"/>
    <mergeCell ref="M21:N21"/>
    <mergeCell ref="A22:A23"/>
    <mergeCell ref="A10:L10"/>
    <mergeCell ref="M10:N10"/>
    <mergeCell ref="A13:L13"/>
    <mergeCell ref="M13:N13"/>
    <mergeCell ref="A15:L15"/>
    <mergeCell ref="M15:N15"/>
    <mergeCell ref="O28:O30"/>
    <mergeCell ref="A31:L31"/>
    <mergeCell ref="M31:N31"/>
    <mergeCell ref="A33:L33"/>
    <mergeCell ref="M33:N33"/>
    <mergeCell ref="A25:L25"/>
    <mergeCell ref="M25:N25"/>
    <mergeCell ref="A28:A30"/>
    <mergeCell ref="A43:L43"/>
    <mergeCell ref="M43:N43"/>
  </mergeCells>
  <pageMargins left="0.70866141732283505" right="0.70866141732283505" top="0.74803149606299202" bottom="0.74803149606299202" header="0.31496062992126" footer="0.31496062992126"/>
  <pageSetup scale="21" orientation="landscape" verticalDpi="360" r:id="rId1"/>
  <rowBreaks count="14" manualBreakCount="14">
    <brk id="14" min="2" max="10" man="1"/>
    <brk id="20" min="2" max="10" man="1"/>
    <brk id="25" min="2" max="10" man="1"/>
    <brk id="44" min="2" max="10" man="1"/>
    <brk id="74" min="2" max="10" man="1"/>
    <brk id="80" min="2" max="10" man="1"/>
    <brk id="100" min="2" max="10" man="1"/>
    <brk id="107" min="2" max="10" man="1"/>
    <brk id="124" min="2" max="10" man="1"/>
    <brk id="133" min="2" max="10" man="1"/>
    <brk id="141" min="2" max="10" man="1"/>
    <brk id="148" min="2" max="10" man="1"/>
    <brk id="160" min="2" max="10" man="1"/>
    <brk id="169" min="2" max="1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82"/>
  <sheetViews>
    <sheetView topLeftCell="B1" zoomScale="17" zoomScaleNormal="20" zoomScaleSheetLayoutView="20" workbookViewId="0">
      <pane ySplit="4" topLeftCell="A19" activePane="bottomLeft" state="frozen"/>
      <selection activeCell="G11" sqref="G11"/>
      <selection pane="bottomLeft" activeCell="D23" sqref="D23"/>
    </sheetView>
  </sheetViews>
  <sheetFormatPr baseColWidth="10" defaultColWidth="9.1640625" defaultRowHeight="29"/>
  <cols>
    <col min="1" max="1" width="23.5" style="9" hidden="1" customWidth="1"/>
    <col min="2" max="2" width="23.5" style="9" customWidth="1"/>
    <col min="3" max="3" width="43.33203125" style="9" customWidth="1"/>
    <col min="4" max="4" width="45.33203125" style="9" customWidth="1"/>
    <col min="5" max="5" width="42" style="9" customWidth="1"/>
    <col min="6" max="6" width="40.5" style="9" customWidth="1"/>
    <col min="7" max="7" width="63.1640625" style="9" customWidth="1"/>
    <col min="8" max="8" width="77.1640625" style="9" customWidth="1"/>
    <col min="9" max="9" width="61.1640625" style="9" customWidth="1"/>
    <col min="10" max="10" width="67.83203125" style="9" customWidth="1"/>
    <col min="11" max="11" width="52.33203125" style="9" bestFit="1" customWidth="1"/>
    <col min="12" max="12" width="27.5" style="9" customWidth="1"/>
    <col min="13" max="13" width="28.5" style="9" customWidth="1"/>
    <col min="14" max="14" width="24.83203125" style="9" customWidth="1"/>
    <col min="15" max="15" width="25.1640625" style="9" hidden="1" customWidth="1"/>
    <col min="16" max="16" width="35" style="9" customWidth="1"/>
    <col min="17" max="17" width="31.1640625" style="9" customWidth="1"/>
    <col min="18" max="18" width="36.5" style="9" customWidth="1"/>
    <col min="19" max="19" width="20.6640625" style="9" customWidth="1"/>
    <col min="20" max="16384" width="9.1640625" style="9"/>
  </cols>
  <sheetData>
    <row r="1" spans="1:21" ht="62">
      <c r="C1" s="22"/>
      <c r="D1" s="22"/>
      <c r="E1" s="22"/>
      <c r="F1" s="22"/>
      <c r="G1" s="22"/>
      <c r="H1" s="22"/>
      <c r="I1" s="22"/>
      <c r="J1" s="22"/>
      <c r="L1" s="22"/>
      <c r="M1" s="22"/>
      <c r="N1" s="22"/>
    </row>
    <row r="2" spans="1:21" ht="62">
      <c r="C2" s="23"/>
      <c r="D2" s="23"/>
      <c r="E2" s="23"/>
      <c r="F2" s="23"/>
      <c r="G2" s="23" t="s">
        <v>94</v>
      </c>
      <c r="H2" s="23"/>
      <c r="I2" s="23"/>
      <c r="J2" s="23"/>
      <c r="K2" s="23"/>
      <c r="L2" s="23"/>
      <c r="M2" s="23"/>
      <c r="N2" s="23"/>
    </row>
    <row r="3" spans="1:21" ht="62">
      <c r="C3" s="22"/>
      <c r="D3" s="22"/>
      <c r="E3" s="22"/>
      <c r="F3" s="22"/>
      <c r="G3" s="22" t="s">
        <v>95</v>
      </c>
      <c r="H3" s="22"/>
      <c r="I3" s="22"/>
      <c r="J3" s="22"/>
      <c r="K3" s="22"/>
      <c r="L3" s="22"/>
      <c r="M3" s="22"/>
      <c r="N3" s="22"/>
    </row>
    <row r="4" spans="1:21" s="8" customFormat="1" ht="114" customHeight="1">
      <c r="A4" s="5" t="s">
        <v>30</v>
      </c>
      <c r="B4" s="24" t="s">
        <v>117</v>
      </c>
      <c r="C4" s="24" t="s">
        <v>7</v>
      </c>
      <c r="D4" s="24" t="s">
        <v>0</v>
      </c>
      <c r="E4" s="24" t="s">
        <v>14</v>
      </c>
      <c r="F4" s="24" t="s">
        <v>10</v>
      </c>
      <c r="G4" s="24" t="s">
        <v>1</v>
      </c>
      <c r="H4" s="24" t="s">
        <v>2</v>
      </c>
      <c r="I4" s="24" t="s">
        <v>4</v>
      </c>
      <c r="J4" s="24" t="s">
        <v>5</v>
      </c>
      <c r="K4" s="24" t="s">
        <v>12</v>
      </c>
      <c r="L4" s="24" t="s">
        <v>15</v>
      </c>
      <c r="M4" s="24" t="s">
        <v>13</v>
      </c>
      <c r="N4" s="24" t="s">
        <v>54</v>
      </c>
      <c r="O4" s="6" t="s">
        <v>21</v>
      </c>
      <c r="P4" s="8" t="s">
        <v>0</v>
      </c>
      <c r="Q4" s="8" t="s">
        <v>71</v>
      </c>
    </row>
    <row r="5" spans="1:21" s="8" customFormat="1" ht="224.25" customHeight="1">
      <c r="A5" s="10">
        <v>6</v>
      </c>
      <c r="B5" s="10">
        <v>1</v>
      </c>
      <c r="C5" s="25">
        <v>45300</v>
      </c>
      <c r="D5" s="10" t="s">
        <v>81</v>
      </c>
      <c r="E5" s="10" t="s">
        <v>108</v>
      </c>
      <c r="F5" s="10">
        <v>150</v>
      </c>
      <c r="G5" s="10" t="s">
        <v>111</v>
      </c>
      <c r="H5" s="10"/>
      <c r="I5" s="10" t="s">
        <v>114</v>
      </c>
      <c r="J5" s="26"/>
      <c r="K5" s="25">
        <v>45300</v>
      </c>
      <c r="L5" s="26"/>
      <c r="M5" s="21"/>
      <c r="N5" s="16"/>
      <c r="O5" s="6"/>
      <c r="U5" s="8" t="s">
        <v>50</v>
      </c>
    </row>
    <row r="6" spans="1:21" ht="77.25" customHeight="1">
      <c r="A6" s="137" t="s">
        <v>20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9"/>
      <c r="M6" s="145">
        <v>1</v>
      </c>
      <c r="N6" s="147"/>
      <c r="O6" s="7"/>
    </row>
    <row r="7" spans="1:21" s="8" customFormat="1" ht="230.25" customHeight="1">
      <c r="A7" s="10"/>
      <c r="B7" s="10">
        <v>1</v>
      </c>
      <c r="C7" s="27">
        <v>45334</v>
      </c>
      <c r="D7" s="10" t="s">
        <v>93</v>
      </c>
      <c r="E7" s="10"/>
      <c r="F7" s="10"/>
      <c r="G7" s="10" t="s">
        <v>179</v>
      </c>
      <c r="H7" s="10" t="s">
        <v>200</v>
      </c>
      <c r="I7" s="10"/>
      <c r="J7" s="10"/>
      <c r="K7" s="26"/>
      <c r="L7" s="26"/>
      <c r="M7" s="21"/>
      <c r="N7" s="16"/>
      <c r="O7" s="6"/>
    </row>
    <row r="8" spans="1:21" s="8" customFormat="1" ht="117.75" customHeight="1">
      <c r="A8" s="10"/>
      <c r="B8" s="10">
        <v>2</v>
      </c>
      <c r="C8" s="27">
        <v>45348</v>
      </c>
      <c r="D8" s="10" t="s">
        <v>185</v>
      </c>
      <c r="E8" s="10" t="s">
        <v>186</v>
      </c>
      <c r="F8" s="10"/>
      <c r="G8" s="10" t="s">
        <v>187</v>
      </c>
      <c r="H8" s="10" t="s">
        <v>188</v>
      </c>
      <c r="I8" s="10" t="s">
        <v>189</v>
      </c>
      <c r="J8" s="10" t="s">
        <v>190</v>
      </c>
      <c r="K8" s="51">
        <v>45348</v>
      </c>
      <c r="L8" s="26"/>
      <c r="M8" s="21"/>
      <c r="N8" s="16"/>
      <c r="O8" s="6"/>
    </row>
    <row r="9" spans="1:21" ht="89.25" customHeight="1">
      <c r="A9" s="137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9"/>
      <c r="M9" s="194">
        <v>2</v>
      </c>
      <c r="N9" s="194"/>
      <c r="O9" s="7"/>
    </row>
    <row r="10" spans="1:21" ht="242.25" customHeight="1">
      <c r="A10" s="10"/>
      <c r="B10" s="10">
        <v>1</v>
      </c>
      <c r="C10" s="11">
        <v>45404</v>
      </c>
      <c r="D10" s="10" t="s">
        <v>81</v>
      </c>
      <c r="E10" s="10"/>
      <c r="F10" s="10"/>
      <c r="G10" s="10" t="s">
        <v>279</v>
      </c>
      <c r="H10" s="10"/>
      <c r="I10" s="10"/>
      <c r="J10" s="10"/>
      <c r="K10" s="11">
        <v>45404</v>
      </c>
      <c r="L10" s="11"/>
      <c r="M10" s="16"/>
      <c r="N10" s="16"/>
      <c r="O10" s="164" t="s">
        <v>24</v>
      </c>
      <c r="P10" s="7"/>
      <c r="Q10" s="7"/>
      <c r="R10" s="7"/>
      <c r="S10" s="7"/>
      <c r="T10" s="7"/>
      <c r="U10" s="7"/>
    </row>
    <row r="11" spans="1:21" ht="89.25" customHeight="1">
      <c r="A11" s="137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9"/>
      <c r="M11" s="194">
        <v>2</v>
      </c>
      <c r="N11" s="194"/>
      <c r="O11" s="166"/>
    </row>
    <row r="12" spans="1:21" ht="225" customHeight="1">
      <c r="A12" s="10"/>
      <c r="B12" s="10">
        <v>1</v>
      </c>
      <c r="C12" s="11">
        <v>45496</v>
      </c>
      <c r="D12" s="10" t="s">
        <v>90</v>
      </c>
      <c r="E12" s="10"/>
      <c r="F12" s="10"/>
      <c r="G12" s="10" t="s">
        <v>484</v>
      </c>
      <c r="H12" s="10"/>
      <c r="I12" s="10"/>
      <c r="J12" s="10" t="s">
        <v>485</v>
      </c>
      <c r="K12" s="10"/>
      <c r="L12" s="10"/>
      <c r="M12" s="16"/>
      <c r="N12" s="16"/>
      <c r="O12" s="7"/>
    </row>
    <row r="13" spans="1:21" ht="225" customHeight="1">
      <c r="A13" s="10"/>
      <c r="B13" s="10">
        <v>2</v>
      </c>
      <c r="C13" s="11">
        <v>45502</v>
      </c>
      <c r="D13" s="10" t="s">
        <v>29</v>
      </c>
      <c r="E13" s="10"/>
      <c r="F13" s="10"/>
      <c r="G13" s="10" t="s">
        <v>465</v>
      </c>
      <c r="H13" s="10"/>
      <c r="I13" s="10"/>
      <c r="J13" s="10"/>
      <c r="K13" s="10"/>
      <c r="L13" s="10"/>
      <c r="M13" s="16"/>
      <c r="N13" s="16"/>
      <c r="O13" s="7"/>
    </row>
    <row r="14" spans="1:21" ht="61.5" customHeight="1">
      <c r="A14" s="110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173">
        <v>2</v>
      </c>
      <c r="N14" s="173"/>
      <c r="O14" s="7"/>
    </row>
    <row r="15" spans="1:21" ht="30" customHeight="1">
      <c r="A15" s="10"/>
      <c r="B15" s="28">
        <v>1</v>
      </c>
      <c r="C15" s="57">
        <v>45511</v>
      </c>
      <c r="D15" s="28" t="s">
        <v>541</v>
      </c>
      <c r="E15" s="16" t="s">
        <v>543</v>
      </c>
      <c r="F15" s="16"/>
      <c r="G15" s="28" t="s">
        <v>544</v>
      </c>
      <c r="H15" s="28"/>
      <c r="I15" s="28"/>
      <c r="J15" s="10"/>
      <c r="K15" s="11"/>
      <c r="L15" s="10"/>
      <c r="M15" s="16"/>
      <c r="N15" s="16"/>
      <c r="O15" s="6"/>
    </row>
    <row r="16" spans="1:21" ht="56.25" customHeight="1">
      <c r="A16" s="110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2"/>
      <c r="M16" s="173"/>
      <c r="N16" s="173"/>
      <c r="O16" s="7"/>
    </row>
    <row r="17" spans="1:27" ht="172" customHeight="1">
      <c r="A17" s="148"/>
      <c r="B17" s="10">
        <v>1</v>
      </c>
      <c r="C17" s="17">
        <v>45537</v>
      </c>
      <c r="D17" s="16" t="s">
        <v>576</v>
      </c>
      <c r="E17" s="10"/>
      <c r="F17" s="10"/>
      <c r="G17" s="16" t="s">
        <v>577</v>
      </c>
      <c r="H17" s="16"/>
      <c r="I17" s="16"/>
      <c r="J17" s="16"/>
      <c r="K17" s="17">
        <v>45537</v>
      </c>
      <c r="L17" s="10"/>
      <c r="M17" s="16"/>
      <c r="N17" s="179"/>
      <c r="O17" s="7"/>
    </row>
    <row r="18" spans="1:27" ht="172" customHeight="1">
      <c r="A18" s="148"/>
      <c r="B18" s="10">
        <v>2</v>
      </c>
      <c r="C18" s="17">
        <v>45553</v>
      </c>
      <c r="D18" s="16" t="s">
        <v>89</v>
      </c>
      <c r="E18" s="10" t="s">
        <v>626</v>
      </c>
      <c r="F18" s="10"/>
      <c r="G18" s="16" t="s">
        <v>625</v>
      </c>
      <c r="H18" s="16"/>
      <c r="I18" s="16"/>
      <c r="J18" s="16"/>
      <c r="K18" s="17">
        <v>45553</v>
      </c>
      <c r="L18" s="10"/>
      <c r="M18" s="16"/>
      <c r="N18" s="179"/>
      <c r="O18" s="7"/>
    </row>
    <row r="19" spans="1:27" ht="114.75" customHeight="1">
      <c r="A19" s="148"/>
      <c r="B19" s="10">
        <v>3</v>
      </c>
      <c r="C19" s="17">
        <v>45561</v>
      </c>
      <c r="D19" s="16" t="s">
        <v>81</v>
      </c>
      <c r="E19" s="10" t="s">
        <v>61</v>
      </c>
      <c r="F19" s="10"/>
      <c r="G19" s="16" t="s">
        <v>600</v>
      </c>
      <c r="H19" s="16"/>
      <c r="I19" s="16"/>
      <c r="J19" s="16"/>
      <c r="K19" s="17">
        <v>45563</v>
      </c>
      <c r="L19" s="10"/>
      <c r="M19" s="16"/>
      <c r="N19" s="179"/>
      <c r="O19" s="7"/>
    </row>
    <row r="20" spans="1:27" ht="141" customHeight="1">
      <c r="A20" s="16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7"/>
    </row>
    <row r="21" spans="1:27" ht="146.25" customHeight="1">
      <c r="A21" s="16"/>
      <c r="B21" s="16">
        <v>1</v>
      </c>
      <c r="C21" s="17" t="s">
        <v>856</v>
      </c>
      <c r="D21" s="16" t="s">
        <v>85</v>
      </c>
      <c r="E21" s="16"/>
      <c r="F21" s="16"/>
      <c r="G21" s="16" t="s">
        <v>857</v>
      </c>
      <c r="H21" s="16"/>
      <c r="I21" s="16"/>
      <c r="J21" s="16"/>
      <c r="K21" s="16"/>
      <c r="L21" s="16"/>
      <c r="M21" s="16"/>
      <c r="N21" s="16"/>
      <c r="O21" s="7"/>
    </row>
    <row r="22" spans="1:27" ht="63" customHeight="1">
      <c r="A22" s="16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7"/>
      <c r="AA22" s="9" t="s">
        <v>50</v>
      </c>
    </row>
    <row r="23" spans="1:27" ht="129.75" customHeight="1">
      <c r="A23" s="16"/>
      <c r="B23" s="16">
        <v>1</v>
      </c>
      <c r="C23" s="17">
        <v>45608</v>
      </c>
      <c r="D23" s="16" t="s">
        <v>905</v>
      </c>
      <c r="E23" s="16" t="s">
        <v>906</v>
      </c>
      <c r="F23" s="16">
        <v>2</v>
      </c>
      <c r="G23" s="16" t="s">
        <v>907</v>
      </c>
      <c r="H23" s="16" t="s">
        <v>908</v>
      </c>
      <c r="I23" s="16"/>
      <c r="J23" s="16"/>
      <c r="K23" s="17">
        <v>45608</v>
      </c>
      <c r="L23" s="16"/>
      <c r="M23" s="16"/>
      <c r="N23" s="16"/>
      <c r="O23" s="7"/>
    </row>
    <row r="24" spans="1:27" ht="167.25" customHeight="1">
      <c r="A24" s="16"/>
      <c r="B24" s="16">
        <v>2</v>
      </c>
      <c r="C24" s="17">
        <v>45617</v>
      </c>
      <c r="D24" s="16" t="s">
        <v>518</v>
      </c>
      <c r="E24" s="16"/>
      <c r="F24" s="16"/>
      <c r="G24" s="16" t="s">
        <v>937</v>
      </c>
      <c r="H24" s="16"/>
      <c r="I24" s="16"/>
      <c r="J24" s="16"/>
      <c r="K24" s="17">
        <v>45617</v>
      </c>
      <c r="L24" s="16"/>
      <c r="M24" s="16"/>
      <c r="N24" s="16"/>
      <c r="O24" s="7"/>
    </row>
    <row r="25" spans="1:27" ht="96" customHeight="1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7"/>
    </row>
    <row r="26" spans="1:27" ht="156" customHeight="1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7"/>
      <c r="L26" s="16"/>
      <c r="M26" s="16"/>
      <c r="N26" s="16"/>
      <c r="O26" s="6" t="s">
        <v>24</v>
      </c>
    </row>
    <row r="27" spans="1:27" ht="60.75" customHeight="1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7"/>
    </row>
    <row r="28" spans="1:27" ht="122.25" customHeight="1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7"/>
    </row>
    <row r="29" spans="1:27" ht="68.25" customHeight="1">
      <c r="A29" s="195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7"/>
      <c r="M29" s="167"/>
      <c r="N29" s="167"/>
      <c r="O29" s="7"/>
    </row>
    <row r="30" spans="1:27" ht="47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7"/>
    </row>
    <row r="31" spans="1:27" ht="47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7"/>
    </row>
    <row r="32" spans="1:27" ht="30" customHeight="1">
      <c r="A32" s="179"/>
      <c r="B32" s="16"/>
      <c r="C32" s="202"/>
      <c r="D32" s="179"/>
      <c r="E32" s="16"/>
      <c r="F32" s="16"/>
      <c r="G32" s="179"/>
      <c r="H32" s="179"/>
      <c r="I32" s="179"/>
      <c r="J32" s="179"/>
      <c r="K32" s="17"/>
      <c r="L32" s="28"/>
      <c r="M32" s="16"/>
      <c r="N32" s="179"/>
      <c r="O32" s="164" t="s">
        <v>25</v>
      </c>
    </row>
    <row r="33" spans="1:15" ht="44.25" customHeight="1">
      <c r="A33" s="179"/>
      <c r="B33" s="16"/>
      <c r="C33" s="202"/>
      <c r="D33" s="179"/>
      <c r="E33" s="16"/>
      <c r="F33" s="16"/>
      <c r="G33" s="179"/>
      <c r="H33" s="179"/>
      <c r="I33" s="179"/>
      <c r="J33" s="179"/>
      <c r="K33" s="17"/>
      <c r="L33" s="29"/>
      <c r="M33" s="16"/>
      <c r="N33" s="179"/>
      <c r="O33" s="165"/>
    </row>
    <row r="34" spans="1:15" ht="81.75" customHeight="1">
      <c r="A34" s="179"/>
      <c r="B34" s="16"/>
      <c r="C34" s="202"/>
      <c r="D34" s="179"/>
      <c r="E34" s="16"/>
      <c r="F34" s="16"/>
      <c r="G34" s="179"/>
      <c r="H34" s="179"/>
      <c r="I34" s="179"/>
      <c r="J34" s="179"/>
      <c r="K34" s="17"/>
      <c r="L34" s="30"/>
      <c r="M34" s="16"/>
      <c r="N34" s="179"/>
      <c r="O34" s="166"/>
    </row>
    <row r="35" spans="1:15" ht="47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7"/>
    </row>
    <row r="36" spans="1:15" ht="47">
      <c r="A36" s="16"/>
      <c r="B36" s="16"/>
      <c r="C36" s="17"/>
      <c r="D36" s="16"/>
      <c r="E36" s="31"/>
      <c r="F36" s="31"/>
      <c r="G36" s="16"/>
      <c r="H36" s="16"/>
      <c r="I36" s="16"/>
      <c r="J36" s="16"/>
      <c r="K36" s="31"/>
      <c r="L36" s="16"/>
      <c r="M36" s="16"/>
      <c r="N36" s="16"/>
      <c r="O36" s="7"/>
    </row>
    <row r="37" spans="1:15" ht="47">
      <c r="A37" s="143"/>
      <c r="B37" s="28"/>
      <c r="C37" s="143"/>
      <c r="D37" s="143"/>
      <c r="E37" s="16"/>
      <c r="F37" s="16"/>
      <c r="G37" s="179"/>
      <c r="H37" s="143"/>
      <c r="I37" s="179"/>
      <c r="J37" s="143"/>
      <c r="K37" s="17"/>
      <c r="L37" s="17"/>
      <c r="M37" s="16"/>
      <c r="N37" s="176"/>
      <c r="O37" s="7"/>
    </row>
    <row r="38" spans="1:15" ht="47">
      <c r="A38" s="180"/>
      <c r="B38" s="29"/>
      <c r="C38" s="180"/>
      <c r="D38" s="180"/>
      <c r="E38" s="16"/>
      <c r="F38" s="16"/>
      <c r="G38" s="179"/>
      <c r="H38" s="180"/>
      <c r="I38" s="179"/>
      <c r="J38" s="180"/>
      <c r="K38" s="17"/>
      <c r="L38" s="17"/>
      <c r="M38" s="16"/>
      <c r="N38" s="203"/>
      <c r="O38" s="7"/>
    </row>
    <row r="39" spans="1:15" ht="47">
      <c r="A39" s="180"/>
      <c r="B39" s="29"/>
      <c r="C39" s="180"/>
      <c r="D39" s="180"/>
      <c r="E39" s="16"/>
      <c r="F39" s="16"/>
      <c r="G39" s="179"/>
      <c r="H39" s="180"/>
      <c r="I39" s="179"/>
      <c r="J39" s="180"/>
      <c r="K39" s="17"/>
      <c r="L39" s="17"/>
      <c r="M39" s="16"/>
      <c r="N39" s="203"/>
      <c r="O39" s="7"/>
    </row>
    <row r="40" spans="1:15" ht="47">
      <c r="A40" s="144"/>
      <c r="B40" s="30"/>
      <c r="C40" s="144"/>
      <c r="D40" s="144"/>
      <c r="E40" s="16"/>
      <c r="F40" s="16"/>
      <c r="G40" s="179"/>
      <c r="H40" s="144"/>
      <c r="I40" s="179"/>
      <c r="J40" s="144"/>
      <c r="K40" s="17"/>
      <c r="L40" s="17"/>
      <c r="M40" s="16"/>
      <c r="N40" s="183"/>
      <c r="O40" s="7"/>
    </row>
    <row r="41" spans="1:15" ht="162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7"/>
    </row>
    <row r="42" spans="1:15" ht="57.75" customHeight="1">
      <c r="A42" s="16"/>
      <c r="B42" s="16"/>
      <c r="C42" s="16"/>
      <c r="D42" s="16"/>
      <c r="E42" s="31"/>
      <c r="F42" s="31"/>
      <c r="G42" s="16"/>
      <c r="H42" s="16"/>
      <c r="I42" s="16"/>
      <c r="J42" s="16"/>
      <c r="K42" s="16"/>
      <c r="L42" s="16"/>
      <c r="M42" s="16"/>
      <c r="N42" s="16"/>
      <c r="O42" s="7"/>
    </row>
    <row r="43" spans="1:15" ht="60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7"/>
    </row>
    <row r="44" spans="1:15" ht="47">
      <c r="A44" s="16"/>
      <c r="B44" s="19"/>
      <c r="C44" s="19"/>
      <c r="D44" s="16"/>
      <c r="E44" s="29"/>
      <c r="F44" s="29"/>
      <c r="G44" s="16"/>
      <c r="H44" s="16"/>
      <c r="I44" s="16"/>
      <c r="J44" s="16"/>
      <c r="K44" s="16"/>
      <c r="L44" s="16"/>
      <c r="M44" s="16"/>
      <c r="N44" s="16"/>
      <c r="O44" s="7"/>
    </row>
    <row r="45" spans="1:15" ht="71.25" customHeight="1">
      <c r="A45" s="143"/>
      <c r="B45" s="28"/>
      <c r="C45" s="143"/>
      <c r="D45" s="143"/>
      <c r="E45" s="16"/>
      <c r="F45" s="16"/>
      <c r="G45" s="143"/>
      <c r="H45" s="143"/>
      <c r="I45" s="143"/>
      <c r="J45" s="143"/>
      <c r="K45" s="16"/>
      <c r="L45" s="16"/>
      <c r="M45" s="16"/>
      <c r="N45" s="16"/>
      <c r="O45" s="7"/>
    </row>
    <row r="46" spans="1:15" ht="105" customHeight="1">
      <c r="A46" s="144"/>
      <c r="B46" s="30"/>
      <c r="C46" s="144"/>
      <c r="D46" s="144"/>
      <c r="E46" s="16"/>
      <c r="F46" s="16"/>
      <c r="G46" s="144"/>
      <c r="H46" s="144"/>
      <c r="I46" s="144"/>
      <c r="J46" s="144"/>
      <c r="K46" s="16"/>
      <c r="L46" s="16"/>
      <c r="M46" s="16"/>
      <c r="N46" s="16"/>
      <c r="O46" s="7"/>
    </row>
    <row r="47" spans="1:15" s="8" customFormat="1" ht="126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6" t="s">
        <v>34</v>
      </c>
    </row>
    <row r="48" spans="1:15" ht="61.5" customHeight="1">
      <c r="A48" s="195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7"/>
      <c r="M48" s="167"/>
      <c r="N48" s="167"/>
      <c r="O48" s="7"/>
    </row>
    <row r="49" spans="1:15" ht="47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6"/>
    </row>
    <row r="50" spans="1:15" ht="76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6"/>
    </row>
    <row r="51" spans="1:15" ht="113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6"/>
    </row>
    <row r="52" spans="1:15" s="8" customFormat="1" ht="44.25" customHeight="1">
      <c r="A52" s="179"/>
      <c r="B52" s="16"/>
      <c r="C52" s="179"/>
      <c r="D52" s="179"/>
      <c r="E52" s="16"/>
      <c r="F52" s="16"/>
      <c r="G52" s="179"/>
      <c r="H52" s="179"/>
      <c r="I52" s="143"/>
      <c r="J52" s="143"/>
      <c r="K52" s="16"/>
      <c r="L52" s="16"/>
      <c r="M52" s="16"/>
      <c r="N52" s="143"/>
      <c r="O52" s="164"/>
    </row>
    <row r="53" spans="1:15" s="8" customFormat="1" ht="44.25" customHeight="1">
      <c r="A53" s="179"/>
      <c r="B53" s="16"/>
      <c r="C53" s="179"/>
      <c r="D53" s="179"/>
      <c r="E53" s="16"/>
      <c r="F53" s="16"/>
      <c r="G53" s="179"/>
      <c r="H53" s="179"/>
      <c r="I53" s="180"/>
      <c r="J53" s="180"/>
      <c r="K53" s="143"/>
      <c r="L53" s="143"/>
      <c r="M53" s="143"/>
      <c r="N53" s="180"/>
      <c r="O53" s="165"/>
    </row>
    <row r="54" spans="1:15" ht="45" customHeight="1">
      <c r="A54" s="179"/>
      <c r="B54" s="16"/>
      <c r="C54" s="179"/>
      <c r="D54" s="179"/>
      <c r="E54" s="16"/>
      <c r="F54" s="16"/>
      <c r="G54" s="179"/>
      <c r="H54" s="179"/>
      <c r="I54" s="144"/>
      <c r="J54" s="144"/>
      <c r="K54" s="144"/>
      <c r="L54" s="144"/>
      <c r="M54" s="144"/>
      <c r="N54" s="144"/>
      <c r="O54" s="166"/>
    </row>
    <row r="55" spans="1:15" s="8" customFormat="1" ht="220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6"/>
    </row>
    <row r="56" spans="1:15" ht="148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6"/>
    </row>
    <row r="57" spans="1:15" ht="133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6"/>
    </row>
    <row r="58" spans="1:15" ht="116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6"/>
    </row>
    <row r="59" spans="1:15" ht="144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6"/>
    </row>
    <row r="60" spans="1:15" ht="43.5" customHeight="1">
      <c r="A60" s="143"/>
      <c r="B60" s="28"/>
      <c r="C60" s="143"/>
      <c r="D60" s="143"/>
      <c r="E60" s="16"/>
      <c r="F60" s="16"/>
      <c r="G60" s="143"/>
      <c r="H60" s="143"/>
      <c r="I60" s="143"/>
      <c r="J60" s="143"/>
      <c r="K60" s="143"/>
      <c r="L60" s="143"/>
      <c r="M60" s="16"/>
      <c r="N60" s="113"/>
      <c r="O60" s="6"/>
    </row>
    <row r="61" spans="1:15" ht="31.5" customHeight="1">
      <c r="A61" s="180"/>
      <c r="B61" s="29"/>
      <c r="C61" s="180"/>
      <c r="D61" s="180"/>
      <c r="E61" s="16"/>
      <c r="F61" s="16"/>
      <c r="G61" s="180"/>
      <c r="H61" s="180"/>
      <c r="I61" s="180"/>
      <c r="J61" s="180"/>
      <c r="K61" s="180"/>
      <c r="L61" s="180"/>
      <c r="M61" s="16"/>
      <c r="N61" s="116"/>
      <c r="O61" s="6"/>
    </row>
    <row r="62" spans="1:15" ht="39" customHeight="1">
      <c r="A62" s="180"/>
      <c r="B62" s="29"/>
      <c r="C62" s="180"/>
      <c r="D62" s="180"/>
      <c r="E62" s="16"/>
      <c r="F62" s="16"/>
      <c r="G62" s="180"/>
      <c r="H62" s="180"/>
      <c r="I62" s="180"/>
      <c r="J62" s="180"/>
      <c r="K62" s="180"/>
      <c r="L62" s="180"/>
      <c r="M62" s="16"/>
      <c r="N62" s="116"/>
      <c r="O62" s="6"/>
    </row>
    <row r="63" spans="1:15" ht="36" customHeight="1">
      <c r="A63" s="180"/>
      <c r="B63" s="29"/>
      <c r="C63" s="180"/>
      <c r="D63" s="180"/>
      <c r="E63" s="16"/>
      <c r="F63" s="16"/>
      <c r="G63" s="180"/>
      <c r="H63" s="180"/>
      <c r="I63" s="180"/>
      <c r="J63" s="180"/>
      <c r="K63" s="180"/>
      <c r="L63" s="180"/>
      <c r="M63" s="16"/>
      <c r="N63" s="116"/>
      <c r="O63" s="6"/>
    </row>
    <row r="64" spans="1:15" ht="36" customHeight="1">
      <c r="A64" s="180"/>
      <c r="B64" s="29"/>
      <c r="C64" s="180"/>
      <c r="D64" s="180"/>
      <c r="E64" s="16"/>
      <c r="F64" s="16"/>
      <c r="G64" s="180"/>
      <c r="H64" s="180"/>
      <c r="I64" s="180"/>
      <c r="J64" s="180"/>
      <c r="K64" s="180"/>
      <c r="L64" s="180"/>
      <c r="M64" s="16"/>
      <c r="N64" s="116"/>
      <c r="O64" s="6"/>
    </row>
    <row r="65" spans="1:15" ht="30" customHeight="1">
      <c r="A65" s="180"/>
      <c r="B65" s="29"/>
      <c r="C65" s="180"/>
      <c r="D65" s="180"/>
      <c r="E65" s="16"/>
      <c r="F65" s="16"/>
      <c r="G65" s="180"/>
      <c r="H65" s="180"/>
      <c r="I65" s="180"/>
      <c r="J65" s="180"/>
      <c r="K65" s="180"/>
      <c r="L65" s="180"/>
      <c r="M65" s="16"/>
      <c r="N65" s="116"/>
      <c r="O65" s="6"/>
    </row>
    <row r="66" spans="1:15" ht="35.25" customHeight="1">
      <c r="A66" s="180"/>
      <c r="B66" s="29"/>
      <c r="C66" s="180"/>
      <c r="D66" s="180"/>
      <c r="E66" s="16"/>
      <c r="F66" s="16"/>
      <c r="G66" s="180"/>
      <c r="H66" s="180"/>
      <c r="I66" s="180"/>
      <c r="J66" s="180"/>
      <c r="K66" s="180"/>
      <c r="L66" s="180"/>
      <c r="M66" s="16"/>
      <c r="N66" s="116"/>
      <c r="O66" s="6"/>
    </row>
    <row r="67" spans="1:15" ht="56.25" customHeight="1">
      <c r="A67" s="180"/>
      <c r="B67" s="29"/>
      <c r="C67" s="180"/>
      <c r="D67" s="180"/>
      <c r="E67" s="16"/>
      <c r="F67" s="16"/>
      <c r="G67" s="180"/>
      <c r="H67" s="180"/>
      <c r="I67" s="180"/>
      <c r="J67" s="180"/>
      <c r="K67" s="180"/>
      <c r="L67" s="180"/>
      <c r="M67" s="16"/>
      <c r="N67" s="116"/>
      <c r="O67" s="6"/>
    </row>
    <row r="68" spans="1:15" ht="52.5" customHeight="1">
      <c r="A68" s="144"/>
      <c r="B68" s="30"/>
      <c r="C68" s="144"/>
      <c r="D68" s="144"/>
      <c r="E68" s="16"/>
      <c r="F68" s="16"/>
      <c r="G68" s="144"/>
      <c r="H68" s="144"/>
      <c r="I68" s="144"/>
      <c r="J68" s="144"/>
      <c r="K68" s="144"/>
      <c r="L68" s="144"/>
      <c r="M68" s="16"/>
      <c r="N68" s="114"/>
      <c r="O68" s="6"/>
    </row>
    <row r="69" spans="1:15" ht="60" customHeight="1">
      <c r="A69" s="143"/>
      <c r="B69" s="28"/>
      <c r="C69" s="143"/>
      <c r="D69" s="143"/>
      <c r="E69" s="16"/>
      <c r="F69" s="16"/>
      <c r="G69" s="143"/>
      <c r="H69" s="143"/>
      <c r="I69" s="143"/>
      <c r="J69" s="143"/>
      <c r="K69" s="143"/>
      <c r="L69" s="16"/>
      <c r="M69" s="16"/>
      <c r="N69" s="113"/>
      <c r="O69" s="6"/>
    </row>
    <row r="70" spans="1:15" ht="47">
      <c r="A70" s="180"/>
      <c r="B70" s="29"/>
      <c r="C70" s="180"/>
      <c r="D70" s="180"/>
      <c r="E70" s="16"/>
      <c r="F70" s="16"/>
      <c r="G70" s="180"/>
      <c r="H70" s="180"/>
      <c r="I70" s="180"/>
      <c r="J70" s="180"/>
      <c r="K70" s="180"/>
      <c r="L70" s="16"/>
      <c r="M70" s="16"/>
      <c r="N70" s="116"/>
      <c r="O70" s="6"/>
    </row>
    <row r="71" spans="1:15" ht="37.5" customHeight="1">
      <c r="A71" s="180"/>
      <c r="B71" s="29"/>
      <c r="C71" s="180"/>
      <c r="D71" s="180"/>
      <c r="E71" s="16"/>
      <c r="F71" s="16"/>
      <c r="G71" s="180"/>
      <c r="H71" s="180"/>
      <c r="I71" s="180"/>
      <c r="J71" s="180"/>
      <c r="K71" s="180"/>
      <c r="L71" s="16"/>
      <c r="M71" s="16"/>
      <c r="N71" s="116"/>
      <c r="O71" s="6"/>
    </row>
    <row r="72" spans="1:15" ht="48.75" customHeight="1">
      <c r="A72" s="144"/>
      <c r="B72" s="30"/>
      <c r="C72" s="144"/>
      <c r="D72" s="144"/>
      <c r="E72" s="16"/>
      <c r="F72" s="16"/>
      <c r="G72" s="144"/>
      <c r="H72" s="144"/>
      <c r="I72" s="144"/>
      <c r="J72" s="144"/>
      <c r="K72" s="144"/>
      <c r="L72" s="16"/>
      <c r="M72" s="16"/>
      <c r="N72" s="114"/>
      <c r="O72" s="6"/>
    </row>
    <row r="73" spans="1:15" ht="30" customHeight="1">
      <c r="A73" s="179"/>
      <c r="B73" s="28"/>
      <c r="C73" s="143"/>
      <c r="D73" s="143"/>
      <c r="E73" s="16"/>
      <c r="F73" s="16"/>
      <c r="G73" s="143"/>
      <c r="H73" s="143"/>
      <c r="I73" s="143"/>
      <c r="J73" s="143"/>
      <c r="K73" s="143"/>
      <c r="L73" s="143"/>
      <c r="M73" s="143"/>
      <c r="N73" s="143"/>
      <c r="O73" s="6"/>
    </row>
    <row r="74" spans="1:15" ht="47">
      <c r="A74" s="179"/>
      <c r="B74" s="29"/>
      <c r="C74" s="180"/>
      <c r="D74" s="180"/>
      <c r="E74" s="16"/>
      <c r="F74" s="16"/>
      <c r="G74" s="180"/>
      <c r="H74" s="180"/>
      <c r="I74" s="180"/>
      <c r="J74" s="180"/>
      <c r="K74" s="180"/>
      <c r="L74" s="180"/>
      <c r="M74" s="180"/>
      <c r="N74" s="180"/>
      <c r="O74" s="7"/>
    </row>
    <row r="75" spans="1:15" ht="47">
      <c r="A75" s="179"/>
      <c r="B75" s="29"/>
      <c r="C75" s="180"/>
      <c r="D75" s="180"/>
      <c r="E75" s="16"/>
      <c r="F75" s="16"/>
      <c r="G75" s="180"/>
      <c r="H75" s="180"/>
      <c r="I75" s="180"/>
      <c r="J75" s="180"/>
      <c r="K75" s="180"/>
      <c r="L75" s="180"/>
      <c r="M75" s="180"/>
      <c r="N75" s="180"/>
      <c r="O75" s="7"/>
    </row>
    <row r="76" spans="1:15" ht="47">
      <c r="A76" s="179"/>
      <c r="B76" s="29"/>
      <c r="C76" s="180"/>
      <c r="D76" s="180"/>
      <c r="E76" s="16"/>
      <c r="F76" s="16"/>
      <c r="G76" s="180"/>
      <c r="H76" s="180"/>
      <c r="I76" s="180"/>
      <c r="J76" s="180"/>
      <c r="K76" s="180"/>
      <c r="L76" s="180"/>
      <c r="M76" s="180"/>
      <c r="N76" s="180"/>
      <c r="O76" s="7"/>
    </row>
    <row r="77" spans="1:15" ht="46.5" customHeight="1">
      <c r="A77" s="179"/>
      <c r="B77" s="30"/>
      <c r="C77" s="144"/>
      <c r="D77" s="144"/>
      <c r="E77" s="16"/>
      <c r="F77" s="16"/>
      <c r="G77" s="144"/>
      <c r="H77" s="144"/>
      <c r="I77" s="144"/>
      <c r="J77" s="144"/>
      <c r="K77" s="144"/>
      <c r="L77" s="144"/>
      <c r="M77" s="144"/>
      <c r="N77" s="144"/>
      <c r="O77" s="7"/>
    </row>
    <row r="78" spans="1:15" ht="114.75" customHeight="1">
      <c r="A78" s="30"/>
      <c r="B78" s="30"/>
      <c r="C78" s="16"/>
      <c r="D78" s="16"/>
      <c r="E78" s="16"/>
      <c r="F78" s="31"/>
      <c r="G78" s="16"/>
      <c r="H78" s="16"/>
      <c r="I78" s="16"/>
      <c r="J78" s="16"/>
      <c r="K78" s="16"/>
      <c r="L78" s="16"/>
      <c r="M78" s="16"/>
      <c r="N78" s="16"/>
      <c r="O78" s="6"/>
    </row>
    <row r="79" spans="1:15" ht="61.5" customHeight="1">
      <c r="A79" s="195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7"/>
      <c r="M79" s="167"/>
      <c r="N79" s="167"/>
      <c r="O79" s="7"/>
    </row>
    <row r="80" spans="1:15" ht="97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6"/>
    </row>
    <row r="81" spans="1:15" ht="135" customHeight="1">
      <c r="A81" s="143"/>
      <c r="B81" s="28"/>
      <c r="C81" s="143"/>
      <c r="D81" s="143"/>
      <c r="E81" s="16"/>
      <c r="F81" s="16"/>
      <c r="G81" s="143"/>
      <c r="H81" s="16"/>
      <c r="I81" s="143"/>
      <c r="J81" s="143"/>
      <c r="K81" s="143"/>
      <c r="L81" s="16"/>
      <c r="M81" s="16"/>
      <c r="N81" s="113"/>
      <c r="O81" s="6"/>
    </row>
    <row r="82" spans="1:15" ht="45" customHeight="1">
      <c r="A82" s="180"/>
      <c r="B82" s="29"/>
      <c r="C82" s="180"/>
      <c r="D82" s="180"/>
      <c r="E82" s="16"/>
      <c r="F82" s="16"/>
      <c r="G82" s="180"/>
      <c r="H82" s="143"/>
      <c r="I82" s="180"/>
      <c r="J82" s="144"/>
      <c r="K82" s="180"/>
      <c r="L82" s="16"/>
      <c r="M82" s="16"/>
      <c r="N82" s="116"/>
      <c r="O82" s="6"/>
    </row>
    <row r="83" spans="1:15" ht="47">
      <c r="A83" s="144"/>
      <c r="B83" s="30"/>
      <c r="C83" s="144"/>
      <c r="D83" s="144"/>
      <c r="E83" s="16"/>
      <c r="F83" s="16"/>
      <c r="G83" s="144"/>
      <c r="H83" s="144"/>
      <c r="I83" s="144"/>
      <c r="J83" s="16"/>
      <c r="K83" s="144"/>
      <c r="L83" s="16"/>
      <c r="M83" s="16"/>
      <c r="N83" s="114"/>
      <c r="O83" s="6"/>
    </row>
    <row r="84" spans="1:15" ht="47">
      <c r="A84" s="16"/>
      <c r="B84" s="16"/>
      <c r="C84" s="16"/>
      <c r="D84" s="16"/>
      <c r="E84" s="31"/>
      <c r="F84" s="31"/>
      <c r="G84" s="16"/>
      <c r="H84" s="31"/>
      <c r="I84" s="31"/>
      <c r="J84" s="16"/>
      <c r="K84" s="16"/>
      <c r="L84" s="16"/>
      <c r="M84" s="16"/>
      <c r="N84" s="16"/>
      <c r="O84" s="6"/>
    </row>
    <row r="85" spans="1:15" ht="47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6"/>
    </row>
    <row r="86" spans="1:15" ht="47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6"/>
    </row>
    <row r="87" spans="1:15" ht="4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6"/>
    </row>
    <row r="88" spans="1:15" ht="83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6"/>
    </row>
    <row r="89" spans="1:15" ht="131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6"/>
    </row>
    <row r="90" spans="1:15" ht="101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6"/>
    </row>
    <row r="91" spans="1:15" ht="47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6"/>
    </row>
    <row r="92" spans="1:15" ht="99" customHeight="1">
      <c r="A92" s="16"/>
      <c r="B92" s="16"/>
      <c r="C92" s="16"/>
      <c r="D92" s="16"/>
      <c r="E92" s="16"/>
      <c r="F92" s="31"/>
      <c r="G92" s="16"/>
      <c r="H92" s="16"/>
      <c r="I92" s="16"/>
      <c r="J92" s="16"/>
      <c r="K92" s="16"/>
      <c r="L92" s="16"/>
      <c r="M92" s="16"/>
      <c r="N92" s="16"/>
      <c r="O92" s="6"/>
    </row>
    <row r="93" spans="1:15" ht="61.5" customHeight="1">
      <c r="A93" s="195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7"/>
      <c r="M93" s="167"/>
      <c r="N93" s="167"/>
      <c r="O93" s="7"/>
    </row>
    <row r="94" spans="1:15" ht="78.75" customHeight="1">
      <c r="A94" s="143"/>
      <c r="B94" s="28"/>
      <c r="C94" s="176"/>
      <c r="D94" s="143"/>
      <c r="E94" s="16"/>
      <c r="F94" s="16"/>
      <c r="G94" s="143"/>
      <c r="H94" s="143"/>
      <c r="I94" s="143"/>
      <c r="J94" s="143"/>
      <c r="K94" s="16"/>
      <c r="L94" s="16"/>
      <c r="M94" s="16"/>
      <c r="N94" s="113"/>
      <c r="O94" s="6"/>
    </row>
    <row r="95" spans="1:15" ht="77.25" customHeight="1">
      <c r="A95" s="144"/>
      <c r="B95" s="30"/>
      <c r="C95" s="183"/>
      <c r="D95" s="144"/>
      <c r="E95" s="16"/>
      <c r="F95" s="16"/>
      <c r="G95" s="144"/>
      <c r="H95" s="144"/>
      <c r="I95" s="144"/>
      <c r="J95" s="144"/>
      <c r="K95" s="17"/>
      <c r="L95" s="17"/>
      <c r="M95" s="16"/>
      <c r="N95" s="114"/>
      <c r="O95" s="6"/>
    </row>
    <row r="96" spans="1:15" ht="105" customHeight="1">
      <c r="A96" s="16"/>
      <c r="B96" s="16"/>
      <c r="C96" s="17"/>
      <c r="D96" s="16"/>
      <c r="E96" s="16"/>
      <c r="F96" s="16"/>
      <c r="G96" s="16"/>
      <c r="H96" s="16"/>
      <c r="I96" s="31"/>
      <c r="J96" s="16"/>
      <c r="K96" s="16"/>
      <c r="L96" s="16"/>
      <c r="M96" s="16"/>
      <c r="N96" s="16"/>
      <c r="O96" s="6"/>
    </row>
    <row r="97" spans="1:15" ht="113.25" customHeight="1">
      <c r="A97" s="16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6"/>
    </row>
    <row r="98" spans="1:15" ht="117" customHeight="1">
      <c r="A98" s="16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6"/>
    </row>
    <row r="99" spans="1:15" ht="190.5" customHeight="1">
      <c r="A99" s="16"/>
      <c r="B99" s="16"/>
      <c r="C99" s="17"/>
      <c r="D99" s="16"/>
      <c r="E99" s="16"/>
      <c r="F99" s="16"/>
      <c r="G99" s="16"/>
      <c r="H99" s="30"/>
      <c r="I99" s="30"/>
      <c r="J99" s="30"/>
      <c r="K99" s="16"/>
      <c r="L99" s="16"/>
      <c r="M99" s="16"/>
      <c r="N99" s="16"/>
      <c r="O99" s="6"/>
    </row>
    <row r="100" spans="1:15" ht="52.5" customHeight="1">
      <c r="A100" s="143"/>
      <c r="B100" s="28"/>
      <c r="C100" s="176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6"/>
      <c r="O100" s="6"/>
    </row>
    <row r="101" spans="1:15" ht="70.5" customHeight="1">
      <c r="A101" s="144"/>
      <c r="B101" s="30"/>
      <c r="C101" s="183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6"/>
      <c r="O101" s="6"/>
    </row>
    <row r="102" spans="1:15" ht="47">
      <c r="A102" s="30"/>
      <c r="B102" s="30"/>
      <c r="C102" s="32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16"/>
      <c r="O102" s="6"/>
    </row>
    <row r="103" spans="1:15" ht="165.75" customHeight="1">
      <c r="A103" s="16"/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6"/>
    </row>
    <row r="104" spans="1:15" ht="117" customHeight="1">
      <c r="A104" s="16"/>
      <c r="B104" s="16"/>
      <c r="C104" s="17"/>
      <c r="D104" s="16"/>
      <c r="E104" s="16"/>
      <c r="F104" s="16"/>
      <c r="G104" s="16"/>
      <c r="H104" s="16"/>
      <c r="I104" s="16"/>
      <c r="J104" s="16"/>
      <c r="K104" s="17"/>
      <c r="L104" s="17"/>
      <c r="M104" s="16"/>
      <c r="N104" s="16"/>
      <c r="O104" s="6"/>
    </row>
    <row r="105" spans="1:15" ht="123.75" customHeight="1">
      <c r="A105" s="143"/>
      <c r="B105" s="28"/>
      <c r="C105" s="176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6"/>
      <c r="O105" s="6"/>
    </row>
    <row r="106" spans="1:15" ht="60.75" customHeight="1">
      <c r="A106" s="144"/>
      <c r="B106" s="30"/>
      <c r="C106" s="183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6"/>
      <c r="O106" s="6"/>
    </row>
    <row r="107" spans="1:15" ht="213" customHeight="1">
      <c r="A107" s="30"/>
      <c r="B107" s="30"/>
      <c r="C107" s="32"/>
      <c r="D107" s="30"/>
      <c r="E107" s="16"/>
      <c r="F107" s="16"/>
      <c r="G107" s="30"/>
      <c r="H107" s="30"/>
      <c r="I107" s="30"/>
      <c r="J107" s="30"/>
      <c r="K107" s="32"/>
      <c r="L107" s="17"/>
      <c r="M107" s="16"/>
      <c r="N107" s="16"/>
      <c r="O107" s="6"/>
    </row>
    <row r="108" spans="1:15" ht="192" customHeight="1">
      <c r="A108" s="143"/>
      <c r="B108" s="28"/>
      <c r="C108" s="176"/>
      <c r="D108" s="143"/>
      <c r="E108" s="28"/>
      <c r="F108" s="28"/>
      <c r="G108" s="16"/>
      <c r="H108" s="16"/>
      <c r="I108" s="16"/>
      <c r="J108" s="16"/>
      <c r="K108" s="176"/>
      <c r="L108" s="176"/>
      <c r="M108" s="143"/>
      <c r="N108" s="16"/>
      <c r="O108" s="6"/>
    </row>
    <row r="109" spans="1:15" ht="249" customHeight="1">
      <c r="A109" s="144"/>
      <c r="B109" s="30"/>
      <c r="C109" s="183"/>
      <c r="D109" s="144"/>
      <c r="E109" s="28"/>
      <c r="F109" s="30"/>
      <c r="G109" s="30"/>
      <c r="H109" s="16"/>
      <c r="I109" s="16"/>
      <c r="J109" s="16"/>
      <c r="K109" s="183"/>
      <c r="L109" s="144"/>
      <c r="M109" s="144"/>
      <c r="N109" s="16"/>
      <c r="O109" s="6"/>
    </row>
    <row r="110" spans="1:15" ht="249" customHeight="1">
      <c r="A110" s="16"/>
      <c r="B110" s="16"/>
      <c r="C110" s="17"/>
      <c r="D110" s="17"/>
      <c r="E110" s="16"/>
      <c r="F110" s="16"/>
      <c r="G110" s="16"/>
      <c r="H110" s="16"/>
      <c r="I110" s="16"/>
      <c r="J110" s="16"/>
      <c r="K110" s="17"/>
      <c r="L110" s="16"/>
      <c r="M110" s="16"/>
      <c r="N110" s="33"/>
      <c r="O110" s="6"/>
    </row>
    <row r="111" spans="1:15" ht="61.5" customHeight="1">
      <c r="A111" s="198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200"/>
      <c r="M111" s="186"/>
      <c r="N111" s="188"/>
      <c r="O111" s="7"/>
    </row>
    <row r="112" spans="1:15" ht="192" customHeight="1">
      <c r="A112" s="10"/>
      <c r="B112" s="10"/>
      <c r="C112" s="11"/>
      <c r="D112" s="10"/>
      <c r="E112" s="12"/>
      <c r="F112" s="10"/>
      <c r="G112" s="10"/>
      <c r="H112" s="13"/>
      <c r="I112" s="12"/>
      <c r="J112" s="10"/>
      <c r="K112" s="10"/>
      <c r="L112" s="10"/>
      <c r="M112" s="10"/>
      <c r="N112" s="10"/>
      <c r="O112" s="6"/>
    </row>
    <row r="113" spans="1:15" ht="52.5" customHeight="1">
      <c r="A113" s="113"/>
      <c r="B113" s="42"/>
      <c r="C113" s="169"/>
      <c r="D113" s="113"/>
      <c r="E113" s="113"/>
      <c r="F113" s="113"/>
      <c r="G113" s="113"/>
      <c r="H113" s="115"/>
      <c r="I113" s="115"/>
      <c r="J113" s="113"/>
      <c r="K113" s="113"/>
      <c r="L113" s="113"/>
      <c r="M113" s="113"/>
      <c r="N113" s="113"/>
      <c r="O113" s="6"/>
    </row>
    <row r="114" spans="1:15" ht="404.25" customHeight="1">
      <c r="A114" s="114"/>
      <c r="B114" s="12"/>
      <c r="C114" s="170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6"/>
    </row>
    <row r="115" spans="1:15" ht="332.25" customHeight="1">
      <c r="A115" s="12"/>
      <c r="B115" s="12"/>
      <c r="C115" s="14"/>
      <c r="D115" s="12"/>
      <c r="E115" s="12"/>
      <c r="F115" s="12"/>
      <c r="G115" s="12"/>
      <c r="H115" s="12"/>
      <c r="I115" s="12"/>
      <c r="J115" s="12"/>
      <c r="K115" s="14"/>
      <c r="L115" s="14"/>
      <c r="M115" s="12"/>
      <c r="N115" s="12"/>
      <c r="O115" s="6"/>
    </row>
    <row r="116" spans="1:15" ht="318.75" customHeight="1">
      <c r="A116" s="12"/>
      <c r="B116" s="12"/>
      <c r="C116" s="14"/>
      <c r="D116" s="12"/>
      <c r="E116" s="12"/>
      <c r="F116" s="12"/>
      <c r="G116" s="12"/>
      <c r="H116" s="12"/>
      <c r="I116" s="12"/>
      <c r="J116" s="12"/>
      <c r="K116" s="14"/>
      <c r="L116" s="14"/>
      <c r="M116" s="12"/>
      <c r="N116" s="12"/>
      <c r="O116" s="6"/>
    </row>
    <row r="117" spans="1:15" ht="285" customHeight="1">
      <c r="A117" s="10"/>
      <c r="B117" s="10"/>
      <c r="C117" s="11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6"/>
    </row>
    <row r="118" spans="1:15" ht="255" customHeight="1">
      <c r="A118" s="10"/>
      <c r="B118" s="10"/>
      <c r="C118" s="11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6"/>
    </row>
    <row r="119" spans="1:15" ht="346.5" customHeight="1">
      <c r="A119" s="10"/>
      <c r="B119" s="10"/>
      <c r="C119" s="11"/>
      <c r="D119" s="10"/>
      <c r="E119" s="10"/>
      <c r="F119" s="10"/>
      <c r="G119" s="10"/>
      <c r="H119" s="10"/>
      <c r="I119" s="10"/>
      <c r="J119" s="10"/>
      <c r="K119" s="11"/>
      <c r="L119" s="10"/>
      <c r="M119" s="10"/>
      <c r="N119" s="10"/>
      <c r="O119" s="6"/>
    </row>
    <row r="120" spans="1:15" ht="282.75" customHeight="1">
      <c r="A120" s="10"/>
      <c r="B120" s="10"/>
      <c r="C120" s="1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6"/>
    </row>
    <row r="121" spans="1:15" ht="257.25" customHeight="1">
      <c r="A121" s="10"/>
      <c r="B121" s="10"/>
      <c r="C121" s="11"/>
      <c r="D121" s="10"/>
      <c r="E121" s="10"/>
      <c r="F121" s="10"/>
      <c r="G121" s="10"/>
      <c r="H121" s="10"/>
      <c r="I121" s="10"/>
      <c r="J121" s="10"/>
      <c r="K121" s="10"/>
      <c r="L121" s="11"/>
      <c r="M121" s="10"/>
      <c r="N121" s="10"/>
      <c r="O121" s="6"/>
    </row>
    <row r="122" spans="1:15" ht="397.5" customHeight="1">
      <c r="A122" s="10"/>
      <c r="B122" s="10"/>
      <c r="C122" s="11"/>
      <c r="D122" s="10"/>
      <c r="E122" s="10"/>
      <c r="F122" s="10"/>
      <c r="G122" s="10"/>
      <c r="H122" s="10"/>
      <c r="I122" s="10"/>
      <c r="J122" s="10"/>
      <c r="K122" s="11"/>
      <c r="L122" s="11"/>
      <c r="M122" s="10"/>
      <c r="N122" s="10"/>
      <c r="O122" s="6"/>
    </row>
    <row r="123" spans="1:15" ht="282.75" customHeight="1">
      <c r="A123" s="10"/>
      <c r="B123" s="10"/>
      <c r="C123" s="11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6"/>
    </row>
    <row r="124" spans="1:15" ht="297" customHeight="1">
      <c r="A124" s="10"/>
      <c r="B124" s="10"/>
      <c r="C124" s="1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6"/>
    </row>
    <row r="125" spans="1:15" ht="348.75" customHeight="1">
      <c r="A125" s="10"/>
      <c r="B125" s="10"/>
      <c r="C125" s="1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6"/>
    </row>
    <row r="126" spans="1:15" ht="254.25" customHeight="1">
      <c r="A126" s="10"/>
      <c r="B126" s="10"/>
      <c r="C126" s="11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6"/>
    </row>
    <row r="127" spans="1:15" ht="61.5" customHeight="1">
      <c r="A127" s="110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2"/>
      <c r="N127" s="15"/>
      <c r="O127" s="7"/>
    </row>
    <row r="128" spans="1:15" ht="168" hidden="1" customHeight="1">
      <c r="A128" s="16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6"/>
    </row>
    <row r="129" spans="1:15" ht="273.75" customHeight="1">
      <c r="A129" s="10"/>
      <c r="B129" s="10"/>
      <c r="C129" s="11"/>
      <c r="D129" s="10"/>
      <c r="E129" s="10"/>
      <c r="F129" s="10"/>
      <c r="G129" s="10"/>
      <c r="H129" s="10"/>
      <c r="I129" s="10"/>
      <c r="J129" s="10"/>
      <c r="K129" s="11"/>
      <c r="L129" s="10"/>
      <c r="M129" s="10"/>
      <c r="N129" s="10"/>
      <c r="O129" s="6"/>
    </row>
    <row r="130" spans="1:15" ht="271.5" customHeight="1">
      <c r="A130" s="113"/>
      <c r="B130" s="42"/>
      <c r="C130" s="169"/>
      <c r="D130" s="113"/>
      <c r="E130" s="10"/>
      <c r="F130" s="10"/>
      <c r="G130" s="10"/>
      <c r="H130" s="113"/>
      <c r="I130" s="113"/>
      <c r="J130" s="113"/>
      <c r="K130" s="169"/>
      <c r="L130" s="10"/>
      <c r="M130" s="10"/>
      <c r="N130" s="113"/>
      <c r="O130" s="6"/>
    </row>
    <row r="131" spans="1:15" ht="222" customHeight="1">
      <c r="A131" s="116"/>
      <c r="B131" s="47"/>
      <c r="C131" s="171"/>
      <c r="D131" s="116"/>
      <c r="E131" s="10"/>
      <c r="F131" s="10"/>
      <c r="G131" s="10"/>
      <c r="H131" s="116"/>
      <c r="I131" s="116"/>
      <c r="J131" s="116"/>
      <c r="K131" s="116"/>
      <c r="L131" s="10"/>
      <c r="M131" s="10"/>
      <c r="N131" s="116"/>
      <c r="O131" s="6"/>
    </row>
    <row r="132" spans="1:15" ht="208.5" customHeight="1">
      <c r="A132" s="114"/>
      <c r="B132" s="12"/>
      <c r="C132" s="170"/>
      <c r="D132" s="114"/>
      <c r="E132" s="10"/>
      <c r="F132" s="10"/>
      <c r="G132" s="10"/>
      <c r="H132" s="114"/>
      <c r="I132" s="114"/>
      <c r="J132" s="114"/>
      <c r="K132" s="114"/>
      <c r="L132" s="10"/>
      <c r="M132" s="10"/>
      <c r="N132" s="114"/>
      <c r="O132" s="6"/>
    </row>
    <row r="133" spans="1:15" ht="366" customHeight="1">
      <c r="A133" s="12"/>
      <c r="B133" s="12"/>
      <c r="C133" s="14"/>
      <c r="D133" s="12"/>
      <c r="E133" s="10"/>
      <c r="F133" s="10"/>
      <c r="G133" s="10"/>
      <c r="H133" s="10"/>
      <c r="I133" s="10"/>
      <c r="J133" s="12"/>
      <c r="K133" s="10"/>
      <c r="L133" s="10"/>
      <c r="M133" s="10"/>
      <c r="N133" s="12"/>
      <c r="O133" s="6"/>
    </row>
    <row r="134" spans="1:15" ht="319.5" customHeight="1">
      <c r="A134" s="10"/>
      <c r="B134" s="10"/>
      <c r="C134" s="11"/>
      <c r="D134" s="10"/>
      <c r="E134" s="10"/>
      <c r="F134" s="10"/>
      <c r="G134" s="10"/>
      <c r="H134" s="10"/>
      <c r="I134" s="10"/>
      <c r="J134" s="10"/>
      <c r="K134" s="11"/>
      <c r="L134" s="10"/>
      <c r="M134" s="10"/>
      <c r="N134" s="10"/>
      <c r="O134" s="6"/>
    </row>
    <row r="135" spans="1:15" ht="240" customHeight="1">
      <c r="A135" s="20"/>
      <c r="B135" s="48"/>
      <c r="C135" s="169"/>
      <c r="D135" s="113"/>
      <c r="E135" s="10"/>
      <c r="F135" s="10"/>
      <c r="G135" s="113"/>
      <c r="H135" s="113"/>
      <c r="I135" s="113"/>
      <c r="J135" s="113"/>
      <c r="K135" s="11"/>
      <c r="L135" s="10"/>
      <c r="M135" s="10"/>
      <c r="N135" s="113"/>
      <c r="O135" s="6"/>
    </row>
    <row r="136" spans="1:15" ht="240" customHeight="1">
      <c r="A136" s="20"/>
      <c r="B136" s="49"/>
      <c r="C136" s="171"/>
      <c r="D136" s="116"/>
      <c r="E136" s="10"/>
      <c r="F136" s="10"/>
      <c r="G136" s="116"/>
      <c r="H136" s="116"/>
      <c r="I136" s="116"/>
      <c r="J136" s="116"/>
      <c r="K136" s="11"/>
      <c r="L136" s="10"/>
      <c r="M136" s="10"/>
      <c r="N136" s="116"/>
      <c r="O136" s="6"/>
    </row>
    <row r="137" spans="1:15" ht="240" customHeight="1">
      <c r="A137" s="20"/>
      <c r="B137" s="49"/>
      <c r="C137" s="171"/>
      <c r="D137" s="116"/>
      <c r="E137" s="10"/>
      <c r="F137" s="10"/>
      <c r="G137" s="114"/>
      <c r="H137" s="114"/>
      <c r="I137" s="114"/>
      <c r="J137" s="114"/>
      <c r="K137" s="11"/>
      <c r="L137" s="10"/>
      <c r="M137" s="10"/>
      <c r="N137" s="114"/>
      <c r="O137" s="6"/>
    </row>
    <row r="138" spans="1:15" ht="408.75" customHeight="1">
      <c r="A138" s="20"/>
      <c r="B138" s="50"/>
      <c r="C138" s="170"/>
      <c r="D138" s="114"/>
      <c r="E138" s="10"/>
      <c r="F138" s="10"/>
      <c r="G138" s="10"/>
      <c r="H138" s="16"/>
      <c r="I138" s="10"/>
      <c r="J138" s="10"/>
      <c r="K138" s="11"/>
      <c r="L138" s="10"/>
      <c r="M138" s="10"/>
      <c r="N138" s="10"/>
      <c r="O138" s="6"/>
    </row>
    <row r="139" spans="1:15" ht="240" customHeight="1">
      <c r="A139" s="20"/>
      <c r="B139" s="48"/>
      <c r="C139" s="169"/>
      <c r="D139" s="113"/>
      <c r="E139" s="10"/>
      <c r="F139" s="10"/>
      <c r="G139" s="113"/>
      <c r="H139" s="113"/>
      <c r="I139" s="113"/>
      <c r="J139" s="113"/>
      <c r="K139" s="169"/>
      <c r="L139" s="10"/>
      <c r="M139" s="10"/>
      <c r="N139" s="113"/>
      <c r="O139" s="6"/>
    </row>
    <row r="140" spans="1:15" ht="240" customHeight="1">
      <c r="A140" s="20"/>
      <c r="B140" s="50"/>
      <c r="C140" s="170"/>
      <c r="D140" s="114"/>
      <c r="E140" s="10"/>
      <c r="F140" s="10"/>
      <c r="G140" s="114"/>
      <c r="H140" s="114"/>
      <c r="I140" s="114"/>
      <c r="J140" s="114"/>
      <c r="K140" s="170"/>
      <c r="L140" s="10"/>
      <c r="M140" s="10"/>
      <c r="N140" s="114"/>
      <c r="O140" s="6"/>
    </row>
    <row r="141" spans="1:15" ht="240" customHeight="1">
      <c r="A141" s="20"/>
      <c r="B141" s="48"/>
      <c r="C141" s="169"/>
      <c r="D141" s="113"/>
      <c r="E141" s="113"/>
      <c r="F141" s="115"/>
      <c r="G141" s="10"/>
      <c r="H141" s="10"/>
      <c r="I141" s="10"/>
      <c r="J141" s="10"/>
      <c r="K141" s="11"/>
      <c r="L141" s="10"/>
      <c r="M141" s="10"/>
      <c r="N141" s="10"/>
      <c r="O141" s="6"/>
    </row>
    <row r="142" spans="1:15" ht="240" customHeight="1">
      <c r="A142" s="20"/>
      <c r="B142" s="50"/>
      <c r="C142" s="170"/>
      <c r="D142" s="114"/>
      <c r="E142" s="114"/>
      <c r="F142" s="201"/>
      <c r="G142" s="10"/>
      <c r="H142" s="10"/>
      <c r="I142" s="10"/>
      <c r="J142" s="10"/>
      <c r="K142" s="11"/>
      <c r="L142" s="10"/>
      <c r="M142" s="10"/>
      <c r="N142" s="10"/>
      <c r="O142" s="6"/>
    </row>
    <row r="143" spans="1:15" ht="240" customHeight="1">
      <c r="A143" s="20"/>
      <c r="B143" s="20"/>
      <c r="C143" s="11"/>
      <c r="D143" s="10"/>
      <c r="E143" s="10"/>
      <c r="F143" s="10"/>
      <c r="G143" s="10"/>
      <c r="H143" s="10"/>
      <c r="I143" s="10"/>
      <c r="J143" s="10"/>
      <c r="K143" s="11"/>
      <c r="L143" s="10"/>
      <c r="M143" s="10"/>
      <c r="N143" s="10"/>
      <c r="O143" s="6"/>
    </row>
    <row r="144" spans="1:15" ht="240" customHeight="1">
      <c r="A144" s="20"/>
      <c r="B144" s="20"/>
      <c r="C144" s="11"/>
      <c r="D144" s="10"/>
      <c r="E144" s="10"/>
      <c r="F144" s="10"/>
      <c r="G144" s="10"/>
      <c r="H144" s="10"/>
      <c r="I144" s="10"/>
      <c r="J144" s="10"/>
      <c r="K144" s="11"/>
      <c r="L144" s="10"/>
      <c r="M144" s="10"/>
      <c r="N144" s="10"/>
      <c r="O144" s="6"/>
    </row>
    <row r="145" spans="1:15" ht="240" customHeight="1">
      <c r="A145" s="20"/>
      <c r="B145" s="20"/>
      <c r="C145" s="11"/>
      <c r="D145" s="10"/>
      <c r="E145" s="10"/>
      <c r="F145" s="10"/>
      <c r="G145" s="10"/>
      <c r="H145" s="10"/>
      <c r="I145" s="10"/>
      <c r="J145" s="10"/>
      <c r="K145" s="11"/>
      <c r="L145" s="10"/>
      <c r="M145" s="10"/>
      <c r="N145" s="10"/>
      <c r="O145" s="6"/>
    </row>
    <row r="146" spans="1:15" ht="352.5" customHeight="1">
      <c r="A146" s="20"/>
      <c r="B146" s="20"/>
      <c r="C146" s="11"/>
      <c r="D146" s="10"/>
      <c r="E146" s="10"/>
      <c r="F146" s="10"/>
      <c r="G146" s="10"/>
      <c r="H146" s="12"/>
      <c r="I146" s="12"/>
      <c r="J146" s="12"/>
      <c r="K146" s="11"/>
      <c r="L146" s="10"/>
      <c r="M146" s="10"/>
      <c r="N146" s="10"/>
      <c r="O146" s="6"/>
    </row>
    <row r="147" spans="1:15" ht="240" customHeight="1">
      <c r="A147" s="20"/>
      <c r="B147" s="20"/>
      <c r="C147" s="11"/>
      <c r="D147" s="10"/>
      <c r="E147" s="10"/>
      <c r="F147" s="10"/>
      <c r="G147" s="10"/>
      <c r="H147" s="30"/>
      <c r="I147" s="30"/>
      <c r="J147" s="30"/>
      <c r="K147" s="11"/>
      <c r="L147" s="10"/>
      <c r="M147" s="10"/>
      <c r="N147" s="10"/>
      <c r="O147" s="6"/>
    </row>
    <row r="148" spans="1:15" ht="240" customHeight="1">
      <c r="A148" s="20"/>
      <c r="B148" s="20"/>
      <c r="C148" s="11"/>
      <c r="D148" s="10"/>
      <c r="E148" s="10"/>
      <c r="F148" s="10"/>
      <c r="G148" s="10"/>
      <c r="H148" s="10"/>
      <c r="I148" s="10"/>
      <c r="J148" s="10"/>
      <c r="K148" s="11"/>
      <c r="L148" s="10"/>
      <c r="M148" s="10"/>
      <c r="N148" s="10"/>
      <c r="O148" s="6"/>
    </row>
    <row r="149" spans="1:15" ht="240" customHeight="1">
      <c r="A149" s="20"/>
      <c r="B149" s="48"/>
      <c r="C149" s="169"/>
      <c r="D149" s="113"/>
      <c r="E149" s="10"/>
      <c r="F149" s="10"/>
      <c r="G149" s="113"/>
      <c r="H149" s="113"/>
      <c r="I149" s="113"/>
      <c r="J149" s="113"/>
      <c r="K149" s="169"/>
      <c r="L149" s="169"/>
      <c r="M149" s="113"/>
      <c r="N149" s="113"/>
      <c r="O149" s="6"/>
    </row>
    <row r="150" spans="1:15" ht="240" customHeight="1">
      <c r="A150" s="20"/>
      <c r="B150" s="50"/>
      <c r="C150" s="170"/>
      <c r="D150" s="114"/>
      <c r="E150" s="10"/>
      <c r="F150" s="10"/>
      <c r="G150" s="114"/>
      <c r="H150" s="114"/>
      <c r="I150" s="114"/>
      <c r="J150" s="114"/>
      <c r="K150" s="170"/>
      <c r="L150" s="114"/>
      <c r="M150" s="114"/>
      <c r="N150" s="114"/>
      <c r="O150" s="6"/>
    </row>
    <row r="151" spans="1:15" ht="240" customHeight="1">
      <c r="A151" s="20"/>
      <c r="B151" s="20"/>
      <c r="C151" s="11"/>
      <c r="D151" s="10"/>
      <c r="E151" s="10"/>
      <c r="F151" s="10"/>
      <c r="G151" s="10"/>
      <c r="H151" s="10"/>
      <c r="I151" s="10"/>
      <c r="J151" s="10"/>
      <c r="K151" s="11"/>
      <c r="L151" s="10"/>
      <c r="M151" s="10"/>
      <c r="N151" s="10"/>
      <c r="O151" s="6"/>
    </row>
    <row r="152" spans="1:15" ht="61.5" customHeight="1">
      <c r="A152" s="110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2"/>
      <c r="N152" s="35"/>
      <c r="O152" s="7"/>
    </row>
    <row r="153" spans="1:15" ht="240" customHeight="1">
      <c r="A153" s="20"/>
      <c r="B153" s="20"/>
      <c r="C153" s="11"/>
      <c r="D153" s="10"/>
      <c r="E153" s="10"/>
      <c r="F153" s="10"/>
      <c r="G153" s="10"/>
      <c r="H153" s="10"/>
      <c r="I153" s="10"/>
      <c r="J153" s="10"/>
      <c r="K153" s="11"/>
      <c r="L153" s="10"/>
      <c r="M153" s="10"/>
      <c r="N153" s="10"/>
      <c r="O153" s="6"/>
    </row>
    <row r="154" spans="1:15" ht="240" customHeight="1">
      <c r="A154" s="20"/>
      <c r="B154" s="20"/>
      <c r="C154" s="11"/>
      <c r="D154" s="10"/>
      <c r="E154" s="10"/>
      <c r="F154" s="10"/>
      <c r="G154" s="10"/>
      <c r="H154" s="10"/>
      <c r="I154" s="10"/>
      <c r="J154" s="10"/>
      <c r="K154" s="11"/>
      <c r="L154" s="10"/>
      <c r="M154" s="10"/>
      <c r="N154" s="10"/>
      <c r="O154" s="6"/>
    </row>
    <row r="155" spans="1:15" ht="240" customHeight="1">
      <c r="A155" s="20"/>
      <c r="B155" s="20"/>
      <c r="C155" s="11"/>
      <c r="D155" s="10"/>
      <c r="E155" s="10"/>
      <c r="F155" s="10"/>
      <c r="G155" s="10"/>
      <c r="H155" s="10"/>
      <c r="I155" s="10"/>
      <c r="J155" s="10"/>
      <c r="K155" s="11"/>
      <c r="L155" s="10"/>
      <c r="M155" s="10"/>
      <c r="N155" s="10"/>
      <c r="O155" s="6"/>
    </row>
    <row r="156" spans="1:15" ht="240" customHeight="1">
      <c r="A156" s="20"/>
      <c r="B156" s="20"/>
      <c r="C156" s="11"/>
      <c r="D156" s="10"/>
      <c r="E156" s="10"/>
      <c r="F156" s="10"/>
      <c r="G156" s="10"/>
      <c r="H156" s="10"/>
      <c r="I156" s="10"/>
      <c r="J156" s="10"/>
      <c r="K156" s="11"/>
      <c r="L156" s="10"/>
      <c r="M156" s="10"/>
      <c r="N156" s="10"/>
      <c r="O156" s="6"/>
    </row>
    <row r="157" spans="1:15" ht="240" customHeight="1">
      <c r="A157" s="20"/>
      <c r="B157" s="48"/>
      <c r="C157" s="169"/>
      <c r="D157" s="113"/>
      <c r="E157" s="13"/>
      <c r="F157" s="10"/>
      <c r="G157" s="10"/>
      <c r="H157" s="10"/>
      <c r="I157" s="10"/>
      <c r="J157" s="10"/>
      <c r="K157" s="11"/>
      <c r="L157" s="10"/>
      <c r="M157" s="10"/>
      <c r="N157" s="10"/>
      <c r="O157" s="6"/>
    </row>
    <row r="158" spans="1:15" ht="240" customHeight="1">
      <c r="A158" s="20"/>
      <c r="B158" s="50"/>
      <c r="C158" s="170"/>
      <c r="D158" s="114"/>
      <c r="E158" s="10"/>
      <c r="F158" s="10"/>
      <c r="G158" s="10"/>
      <c r="H158" s="10"/>
      <c r="I158" s="10"/>
      <c r="J158" s="10"/>
      <c r="K158" s="11"/>
      <c r="L158" s="10"/>
      <c r="M158" s="10"/>
      <c r="N158" s="10"/>
      <c r="O158" s="6"/>
    </row>
    <row r="159" spans="1:15" ht="240" customHeight="1">
      <c r="A159" s="20"/>
      <c r="B159" s="20"/>
      <c r="C159" s="11"/>
      <c r="D159" s="12"/>
      <c r="E159" s="10"/>
      <c r="F159" s="10"/>
      <c r="G159" s="10"/>
      <c r="H159" s="10"/>
      <c r="I159" s="10"/>
      <c r="J159" s="10"/>
      <c r="K159" s="11"/>
      <c r="L159" s="10"/>
      <c r="M159" s="10"/>
      <c r="N159" s="10"/>
      <c r="O159" s="6"/>
    </row>
    <row r="160" spans="1:15" ht="93.75" customHeight="1">
      <c r="A160" s="20"/>
      <c r="B160" s="48"/>
      <c r="C160" s="169"/>
      <c r="D160" s="113"/>
      <c r="E160" s="10"/>
      <c r="F160" s="10"/>
      <c r="G160" s="113"/>
      <c r="H160" s="10"/>
      <c r="I160" s="10"/>
      <c r="J160" s="10"/>
      <c r="K160" s="169"/>
      <c r="L160" s="10"/>
      <c r="M160" s="10"/>
      <c r="N160" s="10"/>
      <c r="O160" s="6"/>
    </row>
    <row r="161" spans="1:24" ht="75.75" customHeight="1">
      <c r="A161" s="20"/>
      <c r="B161" s="49"/>
      <c r="C161" s="171"/>
      <c r="D161" s="116"/>
      <c r="E161" s="10"/>
      <c r="F161" s="10"/>
      <c r="G161" s="116"/>
      <c r="H161" s="10"/>
      <c r="I161" s="10"/>
      <c r="J161" s="10"/>
      <c r="K161" s="171"/>
      <c r="L161" s="10"/>
      <c r="M161" s="10"/>
      <c r="N161" s="10"/>
      <c r="O161" s="6"/>
    </row>
    <row r="162" spans="1:24" ht="94.5" customHeight="1">
      <c r="A162" s="20"/>
      <c r="B162" s="50"/>
      <c r="C162" s="170"/>
      <c r="D162" s="114"/>
      <c r="E162" s="10"/>
      <c r="F162" s="10"/>
      <c r="G162" s="114"/>
      <c r="H162" s="10"/>
      <c r="I162" s="10"/>
      <c r="J162" s="10"/>
      <c r="K162" s="170"/>
      <c r="L162" s="10"/>
      <c r="M162" s="10"/>
      <c r="N162" s="10"/>
      <c r="O162" s="6"/>
    </row>
    <row r="163" spans="1:24" ht="120.75" customHeight="1">
      <c r="A163" s="20"/>
      <c r="B163" s="48"/>
      <c r="C163" s="169"/>
      <c r="D163" s="113"/>
      <c r="E163" s="10"/>
      <c r="F163" s="10"/>
      <c r="G163" s="10"/>
      <c r="H163" s="10"/>
      <c r="I163" s="10"/>
      <c r="J163" s="10"/>
      <c r="K163" s="11"/>
      <c r="L163" s="10"/>
      <c r="M163" s="10"/>
      <c r="N163" s="10"/>
      <c r="O163" s="6"/>
    </row>
    <row r="164" spans="1:24" ht="202.5" customHeight="1">
      <c r="A164" s="20"/>
      <c r="B164" s="50"/>
      <c r="C164" s="170"/>
      <c r="D164" s="114"/>
      <c r="E164" s="10"/>
      <c r="F164" s="10"/>
      <c r="G164" s="10"/>
      <c r="H164" s="10"/>
      <c r="I164" s="10"/>
      <c r="J164" s="10"/>
      <c r="K164" s="11"/>
      <c r="L164" s="10"/>
      <c r="M164" s="10"/>
      <c r="N164" s="10"/>
      <c r="O164" s="6"/>
    </row>
    <row r="165" spans="1:24" ht="240" customHeight="1">
      <c r="A165" s="20"/>
      <c r="B165" s="20"/>
      <c r="C165" s="11"/>
      <c r="D165" s="10"/>
      <c r="E165" s="10"/>
      <c r="F165" s="10"/>
      <c r="G165" s="10"/>
      <c r="H165" s="10"/>
      <c r="I165" s="10"/>
      <c r="J165" s="10"/>
      <c r="K165" s="11"/>
      <c r="L165" s="10"/>
      <c r="M165" s="10"/>
      <c r="N165" s="10"/>
      <c r="O165" s="6"/>
    </row>
    <row r="166" spans="1:24" ht="240" customHeight="1">
      <c r="A166" s="20"/>
      <c r="B166" s="20"/>
      <c r="C166" s="11"/>
      <c r="D166" s="10"/>
      <c r="E166" s="10"/>
      <c r="F166" s="10"/>
      <c r="G166" s="10"/>
      <c r="H166" s="10"/>
      <c r="I166" s="10"/>
      <c r="J166" s="10"/>
      <c r="K166" s="11"/>
      <c r="L166" s="10"/>
      <c r="M166" s="10"/>
      <c r="N166" s="10"/>
      <c r="O166" s="6"/>
      <c r="X166" s="9" t="s">
        <v>68</v>
      </c>
    </row>
    <row r="167" spans="1:24" ht="352.5" customHeight="1">
      <c r="A167" s="20"/>
      <c r="B167" s="48"/>
      <c r="C167" s="169"/>
      <c r="D167" s="113"/>
      <c r="E167" s="10"/>
      <c r="F167" s="10"/>
      <c r="G167" s="10"/>
      <c r="H167" s="10"/>
      <c r="I167" s="10"/>
      <c r="J167" s="10"/>
      <c r="K167" s="11"/>
      <c r="L167" s="10"/>
      <c r="M167" s="10"/>
      <c r="N167" s="10"/>
      <c r="O167" s="6"/>
    </row>
    <row r="168" spans="1:24" ht="240" customHeight="1">
      <c r="A168" s="20"/>
      <c r="B168" s="50"/>
      <c r="C168" s="170"/>
      <c r="D168" s="114"/>
      <c r="E168" s="10"/>
      <c r="F168" s="10"/>
      <c r="G168" s="10"/>
      <c r="H168" s="16"/>
      <c r="I168" s="16"/>
      <c r="J168" s="16"/>
      <c r="K168" s="11"/>
      <c r="L168" s="10"/>
      <c r="M168" s="10"/>
      <c r="N168" s="10"/>
      <c r="O168" s="6"/>
    </row>
    <row r="169" spans="1:24" ht="240" customHeight="1">
      <c r="A169" s="20"/>
      <c r="B169" s="50"/>
      <c r="C169" s="14"/>
      <c r="D169" s="12"/>
      <c r="E169" s="10"/>
      <c r="F169" s="10"/>
      <c r="G169" s="10"/>
      <c r="H169" s="30"/>
      <c r="I169" s="30"/>
      <c r="J169" s="30"/>
      <c r="K169" s="11"/>
      <c r="L169" s="10"/>
      <c r="M169" s="10"/>
      <c r="N169" s="10"/>
      <c r="O169" s="6"/>
    </row>
    <row r="170" spans="1:24" ht="240" customHeight="1">
      <c r="A170" s="20"/>
      <c r="B170" s="48"/>
      <c r="C170" s="169"/>
      <c r="D170" s="113"/>
      <c r="E170" s="10"/>
      <c r="F170" s="10"/>
      <c r="G170" s="113"/>
      <c r="H170" s="10"/>
      <c r="I170" s="10"/>
      <c r="J170" s="10"/>
      <c r="K170" s="169"/>
      <c r="L170" s="10"/>
      <c r="M170" s="10"/>
      <c r="N170" s="10"/>
      <c r="O170" s="6"/>
    </row>
    <row r="171" spans="1:24" ht="240" customHeight="1">
      <c r="A171" s="20"/>
      <c r="B171" s="50"/>
      <c r="C171" s="170"/>
      <c r="D171" s="114"/>
      <c r="E171" s="10"/>
      <c r="G171" s="114"/>
      <c r="I171" s="10"/>
      <c r="J171" s="10"/>
      <c r="K171" s="170"/>
      <c r="L171" s="10"/>
      <c r="M171" s="10"/>
      <c r="N171" s="10"/>
      <c r="O171" s="6"/>
    </row>
    <row r="172" spans="1:24" ht="240" customHeight="1">
      <c r="A172" s="20"/>
      <c r="B172" s="48"/>
      <c r="C172" s="169"/>
      <c r="D172" s="113"/>
      <c r="E172" s="10"/>
      <c r="F172" s="10"/>
      <c r="G172" s="10"/>
      <c r="H172" s="10"/>
      <c r="I172" s="10"/>
      <c r="J172" s="10"/>
      <c r="K172" s="11"/>
      <c r="L172" s="10"/>
      <c r="M172" s="10"/>
      <c r="N172" s="10"/>
      <c r="O172" s="6"/>
    </row>
    <row r="173" spans="1:24" ht="240" customHeight="1">
      <c r="A173" s="20"/>
      <c r="B173" s="50"/>
      <c r="C173" s="170"/>
      <c r="D173" s="114"/>
      <c r="E173" s="10"/>
      <c r="F173" s="10"/>
      <c r="G173" s="10"/>
      <c r="H173" s="10"/>
      <c r="I173" s="10"/>
      <c r="J173" s="10"/>
      <c r="K173" s="11"/>
      <c r="L173" s="10"/>
      <c r="M173" s="10"/>
      <c r="N173" s="10"/>
      <c r="O173" s="6"/>
    </row>
    <row r="174" spans="1:24" ht="240" customHeight="1">
      <c r="A174" s="20"/>
      <c r="B174" s="48"/>
      <c r="C174" s="169"/>
      <c r="D174" s="113"/>
      <c r="E174" s="10"/>
      <c r="F174" s="10"/>
      <c r="G174" s="113"/>
      <c r="H174" s="113"/>
      <c r="I174" s="113"/>
      <c r="J174" s="113"/>
      <c r="K174" s="11"/>
      <c r="L174" s="10"/>
      <c r="M174" s="10"/>
      <c r="N174" s="10"/>
      <c r="O174" s="6"/>
    </row>
    <row r="175" spans="1:24" ht="240" customHeight="1">
      <c r="A175" s="20"/>
      <c r="B175" s="49"/>
      <c r="C175" s="171"/>
      <c r="D175" s="116"/>
      <c r="E175" s="10"/>
      <c r="F175" s="10"/>
      <c r="G175" s="114"/>
      <c r="H175" s="114"/>
      <c r="I175" s="114"/>
      <c r="J175" s="114"/>
      <c r="K175" s="11"/>
      <c r="L175" s="10"/>
      <c r="M175" s="10"/>
      <c r="N175" s="10"/>
      <c r="O175" s="6"/>
    </row>
    <row r="176" spans="1:24" ht="240" customHeight="1">
      <c r="A176" s="20"/>
      <c r="B176" s="50"/>
      <c r="C176" s="170"/>
      <c r="D176" s="114"/>
      <c r="E176" s="10"/>
      <c r="F176" s="10"/>
      <c r="G176" s="12"/>
      <c r="H176" s="16"/>
      <c r="I176" s="16"/>
      <c r="J176" s="16"/>
      <c r="K176" s="11"/>
      <c r="L176" s="10"/>
      <c r="M176" s="10"/>
      <c r="N176" s="10"/>
      <c r="O176" s="6"/>
    </row>
    <row r="177" spans="1:15" ht="61.5" customHeight="1">
      <c r="A177" s="110" t="s">
        <v>8</v>
      </c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2"/>
      <c r="N177" s="35">
        <v>15</v>
      </c>
      <c r="O177" s="7"/>
    </row>
    <row r="178" spans="1:15" ht="36" customHeight="1">
      <c r="A178" s="18"/>
      <c r="B178" s="18"/>
      <c r="C178" s="18" t="s">
        <v>69</v>
      </c>
      <c r="D178" s="18"/>
      <c r="E178" s="18"/>
      <c r="F178" s="18"/>
      <c r="G178" s="18"/>
      <c r="H178" s="19"/>
      <c r="I178" s="19"/>
      <c r="J178" s="181" t="e" vm="1">
        <v>#VALUE!</v>
      </c>
      <c r="K178" s="181"/>
      <c r="L178" s="18"/>
      <c r="M178" s="18"/>
      <c r="N178" s="18"/>
    </row>
    <row r="179" spans="1:15" ht="36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1"/>
      <c r="K179" s="181"/>
      <c r="L179" s="18"/>
      <c r="M179" s="18"/>
      <c r="N179" s="18"/>
    </row>
    <row r="180" spans="1:15" ht="36" customHeight="1">
      <c r="A180" s="18"/>
      <c r="B180" s="18"/>
      <c r="C180" s="18"/>
      <c r="D180" s="18"/>
      <c r="E180" s="18"/>
      <c r="F180" s="18"/>
      <c r="G180" s="18" t="s">
        <v>8</v>
      </c>
      <c r="H180" s="18"/>
      <c r="I180" s="18"/>
      <c r="J180" s="181"/>
      <c r="K180" s="181"/>
      <c r="L180" s="18"/>
      <c r="M180" s="18"/>
      <c r="N180" s="18"/>
    </row>
    <row r="181" spans="1:15" ht="47">
      <c r="A181" s="18"/>
      <c r="B181" s="18"/>
      <c r="C181" s="18"/>
      <c r="D181" s="18"/>
      <c r="E181" s="18"/>
      <c r="F181" s="18"/>
      <c r="G181" s="18"/>
      <c r="H181" s="18"/>
      <c r="I181" s="18"/>
      <c r="J181" s="181" t="s">
        <v>51</v>
      </c>
      <c r="K181" s="181"/>
      <c r="L181" s="18"/>
      <c r="M181" s="18"/>
      <c r="N181" s="18"/>
    </row>
    <row r="182" spans="1:15" ht="47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</sheetData>
  <autoFilter ref="A4:O127" xr:uid="{00000000-0009-0000-0000-000008000000}"/>
  <mergeCells count="213">
    <mergeCell ref="I174:I175"/>
    <mergeCell ref="J174:J175"/>
    <mergeCell ref="A177:M177"/>
    <mergeCell ref="J178:K180"/>
    <mergeCell ref="J181:K181"/>
    <mergeCell ref="C172:C173"/>
    <mergeCell ref="D172:D173"/>
    <mergeCell ref="C174:C176"/>
    <mergeCell ref="D174:D176"/>
    <mergeCell ref="G174:G175"/>
    <mergeCell ref="H174:H175"/>
    <mergeCell ref="C167:C168"/>
    <mergeCell ref="D167:D168"/>
    <mergeCell ref="C170:C171"/>
    <mergeCell ref="D170:D171"/>
    <mergeCell ref="G170:G171"/>
    <mergeCell ref="K170:K171"/>
    <mergeCell ref="C160:C162"/>
    <mergeCell ref="D160:D162"/>
    <mergeCell ref="G160:G162"/>
    <mergeCell ref="K160:K162"/>
    <mergeCell ref="C163:C164"/>
    <mergeCell ref="D163:D164"/>
    <mergeCell ref="K149:K150"/>
    <mergeCell ref="L149:L150"/>
    <mergeCell ref="M149:M150"/>
    <mergeCell ref="N149:N150"/>
    <mergeCell ref="A152:M152"/>
    <mergeCell ref="C157:C158"/>
    <mergeCell ref="D157:D158"/>
    <mergeCell ref="C149:C150"/>
    <mergeCell ref="D149:D150"/>
    <mergeCell ref="G149:G150"/>
    <mergeCell ref="H149:H150"/>
    <mergeCell ref="I149:I150"/>
    <mergeCell ref="J149:J150"/>
    <mergeCell ref="C141:C142"/>
    <mergeCell ref="D141:D142"/>
    <mergeCell ref="E141:E142"/>
    <mergeCell ref="F141:F142"/>
    <mergeCell ref="C139:C140"/>
    <mergeCell ref="D139:D140"/>
    <mergeCell ref="G139:G140"/>
    <mergeCell ref="H139:H140"/>
    <mergeCell ref="I139:I140"/>
    <mergeCell ref="N130:N132"/>
    <mergeCell ref="C135:C138"/>
    <mergeCell ref="D135:D138"/>
    <mergeCell ref="G135:G137"/>
    <mergeCell ref="H135:H137"/>
    <mergeCell ref="I135:I137"/>
    <mergeCell ref="J135:J137"/>
    <mergeCell ref="N135:N137"/>
    <mergeCell ref="K139:K140"/>
    <mergeCell ref="N139:N140"/>
    <mergeCell ref="J139:J140"/>
    <mergeCell ref="A130:A132"/>
    <mergeCell ref="C130:C132"/>
    <mergeCell ref="D130:D132"/>
    <mergeCell ref="H130:H132"/>
    <mergeCell ref="I130:I132"/>
    <mergeCell ref="J130:J132"/>
    <mergeCell ref="J113:J114"/>
    <mergeCell ref="K113:K114"/>
    <mergeCell ref="L113:L114"/>
    <mergeCell ref="K130:K132"/>
    <mergeCell ref="M113:M114"/>
    <mergeCell ref="N113:N114"/>
    <mergeCell ref="A127:M127"/>
    <mergeCell ref="A111:L111"/>
    <mergeCell ref="M111:N111"/>
    <mergeCell ref="A113:A114"/>
    <mergeCell ref="C113:C114"/>
    <mergeCell ref="D113:D114"/>
    <mergeCell ref="E113:E114"/>
    <mergeCell ref="F113:F114"/>
    <mergeCell ref="G113:G114"/>
    <mergeCell ref="H113:H114"/>
    <mergeCell ref="I113:I114"/>
    <mergeCell ref="A108:A109"/>
    <mergeCell ref="C108:C109"/>
    <mergeCell ref="D108:D109"/>
    <mergeCell ref="K108:K109"/>
    <mergeCell ref="L108:L109"/>
    <mergeCell ref="M108:M109"/>
    <mergeCell ref="G105:G106"/>
    <mergeCell ref="H105:H106"/>
    <mergeCell ref="I105:I106"/>
    <mergeCell ref="J105:J106"/>
    <mergeCell ref="K105:K106"/>
    <mergeCell ref="L105:L106"/>
    <mergeCell ref="K100:K101"/>
    <mergeCell ref="L100:L101"/>
    <mergeCell ref="M100:M101"/>
    <mergeCell ref="A105:A106"/>
    <mergeCell ref="C105:C106"/>
    <mergeCell ref="D105:D106"/>
    <mergeCell ref="E105:E106"/>
    <mergeCell ref="F105:F106"/>
    <mergeCell ref="M105:M106"/>
    <mergeCell ref="A100:A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K81:K83"/>
    <mergeCell ref="N81:N83"/>
    <mergeCell ref="H82:H83"/>
    <mergeCell ref="A93:L93"/>
    <mergeCell ref="M93:N93"/>
    <mergeCell ref="A94:A95"/>
    <mergeCell ref="C94:C95"/>
    <mergeCell ref="D94:D95"/>
    <mergeCell ref="G94:G95"/>
    <mergeCell ref="H94:H95"/>
    <mergeCell ref="A81:A83"/>
    <mergeCell ref="C81:C83"/>
    <mergeCell ref="D81:D83"/>
    <mergeCell ref="G81:G83"/>
    <mergeCell ref="I81:I83"/>
    <mergeCell ref="J81:J82"/>
    <mergeCell ref="I94:I95"/>
    <mergeCell ref="J94:J95"/>
    <mergeCell ref="N94:N95"/>
    <mergeCell ref="N73:N77"/>
    <mergeCell ref="A79:L79"/>
    <mergeCell ref="M79:N79"/>
    <mergeCell ref="I69:I72"/>
    <mergeCell ref="J69:J72"/>
    <mergeCell ref="K69:K72"/>
    <mergeCell ref="N69:N72"/>
    <mergeCell ref="A73:A77"/>
    <mergeCell ref="C73:C77"/>
    <mergeCell ref="D73:D77"/>
    <mergeCell ref="G73:G77"/>
    <mergeCell ref="H73:H77"/>
    <mergeCell ref="I73:I77"/>
    <mergeCell ref="A69:A72"/>
    <mergeCell ref="C69:C72"/>
    <mergeCell ref="D69:D72"/>
    <mergeCell ref="G69:G72"/>
    <mergeCell ref="H69:H72"/>
    <mergeCell ref="J73:J77"/>
    <mergeCell ref="K73:K77"/>
    <mergeCell ref="L73:L77"/>
    <mergeCell ref="M73:M77"/>
    <mergeCell ref="O52:O54"/>
    <mergeCell ref="K53:K54"/>
    <mergeCell ref="L53:L54"/>
    <mergeCell ref="M53:M54"/>
    <mergeCell ref="A60:A68"/>
    <mergeCell ref="C60:C68"/>
    <mergeCell ref="D60:D68"/>
    <mergeCell ref="G60:G68"/>
    <mergeCell ref="H60:H68"/>
    <mergeCell ref="I60:I68"/>
    <mergeCell ref="J60:J68"/>
    <mergeCell ref="K60:K68"/>
    <mergeCell ref="L60:L68"/>
    <mergeCell ref="N60:N68"/>
    <mergeCell ref="J45:J46"/>
    <mergeCell ref="A48:L48"/>
    <mergeCell ref="M48:N48"/>
    <mergeCell ref="A52:A54"/>
    <mergeCell ref="C52:C54"/>
    <mergeCell ref="D52:D54"/>
    <mergeCell ref="G52:G54"/>
    <mergeCell ref="H52:H54"/>
    <mergeCell ref="I52:I54"/>
    <mergeCell ref="J52:J54"/>
    <mergeCell ref="A45:A46"/>
    <mergeCell ref="C45:C46"/>
    <mergeCell ref="D45:D46"/>
    <mergeCell ref="G45:G46"/>
    <mergeCell ref="H45:H46"/>
    <mergeCell ref="I45:I46"/>
    <mergeCell ref="N52:N54"/>
    <mergeCell ref="O32:O34"/>
    <mergeCell ref="A37:A40"/>
    <mergeCell ref="C37:C40"/>
    <mergeCell ref="D37:D40"/>
    <mergeCell ref="G37:G40"/>
    <mergeCell ref="H37:H40"/>
    <mergeCell ref="I37:I40"/>
    <mergeCell ref="J37:J40"/>
    <mergeCell ref="N37:N40"/>
    <mergeCell ref="A17:A19"/>
    <mergeCell ref="N17:N19"/>
    <mergeCell ref="A29:L29"/>
    <mergeCell ref="M29:N29"/>
    <mergeCell ref="A32:A34"/>
    <mergeCell ref="C32:C34"/>
    <mergeCell ref="D32:D34"/>
    <mergeCell ref="G32:G34"/>
    <mergeCell ref="H32:H34"/>
    <mergeCell ref="I32:I34"/>
    <mergeCell ref="J32:J34"/>
    <mergeCell ref="N32:N34"/>
    <mergeCell ref="A6:L6"/>
    <mergeCell ref="M6:N6"/>
    <mergeCell ref="A9:L9"/>
    <mergeCell ref="M9:N9"/>
    <mergeCell ref="O10:O11"/>
    <mergeCell ref="A14:L14"/>
    <mergeCell ref="M14:N14"/>
    <mergeCell ref="A16:L16"/>
    <mergeCell ref="M16:N16"/>
    <mergeCell ref="A11:L11"/>
    <mergeCell ref="M11:N11"/>
  </mergeCells>
  <pageMargins left="0.70866141732283505" right="0.70866141732283505" top="0.74803149606299202" bottom="0.74803149606299202" header="0.31496062992126" footer="0.31496062992126"/>
  <pageSetup scale="21" orientation="landscape" verticalDpi="360" r:id="rId1"/>
  <rowBreaks count="14" manualBreakCount="14">
    <brk id="12" min="2" max="13" man="1"/>
    <brk id="15" min="2" max="13" man="1"/>
    <brk id="29" min="2" max="13" man="1"/>
    <brk id="49" min="2" max="13" man="1"/>
    <brk id="78" min="2" max="13" man="1"/>
    <brk id="84" min="2" max="13" man="1"/>
    <brk id="104" min="2" max="13" man="1"/>
    <brk id="111" min="2" max="13" man="1"/>
    <brk id="128" min="2" max="13" man="1"/>
    <brk id="137" min="2" max="13" man="1"/>
    <brk id="145" min="2" max="13" man="1"/>
    <brk id="152" min="2" max="13" man="1"/>
    <brk id="164" min="2" max="13" man="1"/>
    <brk id="173" min="2" max="1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view="pageBreakPreview" zoomScale="80" zoomScaleNormal="60" zoomScaleSheetLayoutView="80" workbookViewId="0">
      <selection activeCell="C1" sqref="C1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891</v>
      </c>
      <c r="B3" s="44">
        <v>1</v>
      </c>
    </row>
    <row r="4" spans="1:7" ht="30" customHeight="1">
      <c r="A4" s="34" t="s">
        <v>86</v>
      </c>
      <c r="B4" s="44">
        <v>1</v>
      </c>
    </row>
    <row r="5" spans="1:7" ht="30" customHeight="1">
      <c r="A5" s="34" t="s">
        <v>73</v>
      </c>
      <c r="B5" s="44">
        <v>2</v>
      </c>
      <c r="C5" s="1"/>
      <c r="D5" s="2"/>
      <c r="E5" s="2"/>
    </row>
    <row r="6" spans="1:7" ht="30" customHeight="1">
      <c r="A6" s="34" t="s">
        <v>90</v>
      </c>
      <c r="B6" s="44">
        <v>1</v>
      </c>
      <c r="C6" s="1"/>
      <c r="D6" s="2"/>
      <c r="E6" s="2"/>
    </row>
    <row r="7" spans="1:7" ht="30" customHeight="1">
      <c r="A7" s="34" t="s">
        <v>133</v>
      </c>
      <c r="B7" s="44">
        <v>1</v>
      </c>
      <c r="C7" s="1"/>
      <c r="D7" s="2"/>
      <c r="E7" s="2"/>
    </row>
    <row r="8" spans="1:7" ht="30" customHeight="1">
      <c r="A8" s="34" t="s">
        <v>81</v>
      </c>
      <c r="B8" s="44">
        <v>1</v>
      </c>
      <c r="C8" s="1"/>
      <c r="D8" s="2"/>
      <c r="E8" s="2"/>
    </row>
    <row r="9" spans="1:7" ht="30" customHeight="1">
      <c r="A9" s="34" t="s">
        <v>557</v>
      </c>
      <c r="B9" s="44">
        <v>2</v>
      </c>
      <c r="C9" s="1"/>
      <c r="D9" s="2"/>
      <c r="E9" s="2"/>
    </row>
    <row r="10" spans="1:7" ht="30" customHeight="1">
      <c r="A10" s="34" t="s">
        <v>29</v>
      </c>
      <c r="B10" s="44">
        <v>1</v>
      </c>
      <c r="C10" s="1"/>
      <c r="D10" s="2"/>
      <c r="E10" s="2"/>
    </row>
    <row r="11" spans="1:7" ht="30" customHeight="1">
      <c r="A11" s="34" t="s">
        <v>194</v>
      </c>
      <c r="B11" s="44">
        <v>1</v>
      </c>
      <c r="C11" s="1"/>
      <c r="D11" s="2"/>
      <c r="E11" s="2"/>
    </row>
    <row r="12" spans="1:7" ht="16">
      <c r="A12" s="37" t="s">
        <v>66</v>
      </c>
      <c r="B12" s="38">
        <f>SUM(B3:B11)</f>
        <v>11</v>
      </c>
      <c r="G12" s="41"/>
    </row>
    <row r="14" spans="1:7">
      <c r="A14" s="4"/>
    </row>
    <row r="22" spans="7:7">
      <c r="G22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view="pageBreakPreview" zoomScale="80" zoomScaleNormal="60" zoomScaleSheetLayoutView="80" workbookViewId="0">
      <selection activeCell="D16" sqref="D16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327</v>
      </c>
      <c r="B3" s="44">
        <v>1</v>
      </c>
      <c r="C3">
        <v>1</v>
      </c>
    </row>
    <row r="4" spans="1:7" ht="30" customHeight="1">
      <c r="A4" s="34" t="s">
        <v>65</v>
      </c>
      <c r="B4" s="44">
        <v>1</v>
      </c>
    </row>
    <row r="5" spans="1:7" ht="30" customHeight="1">
      <c r="A5" s="34" t="s">
        <v>887</v>
      </c>
      <c r="B5" s="44">
        <v>1</v>
      </c>
    </row>
    <row r="6" spans="1:7" ht="30" customHeight="1">
      <c r="A6" s="34" t="s">
        <v>83</v>
      </c>
      <c r="B6" s="44">
        <v>1</v>
      </c>
      <c r="C6" s="1"/>
      <c r="D6" s="2"/>
      <c r="E6" s="2"/>
    </row>
    <row r="7" spans="1:7" ht="30" customHeight="1">
      <c r="A7" s="34" t="s">
        <v>60</v>
      </c>
      <c r="B7" s="44">
        <v>2</v>
      </c>
      <c r="C7" s="1"/>
      <c r="D7" s="2"/>
      <c r="E7" s="2"/>
    </row>
    <row r="8" spans="1:7" ht="30" customHeight="1">
      <c r="A8" s="34" t="s">
        <v>888</v>
      </c>
      <c r="B8" s="60">
        <v>1</v>
      </c>
    </row>
    <row r="9" spans="1:7" ht="30" customHeight="1">
      <c r="A9" s="34" t="s">
        <v>28</v>
      </c>
      <c r="B9" s="44">
        <v>1</v>
      </c>
    </row>
    <row r="10" spans="1:7" ht="30" customHeight="1">
      <c r="A10" s="34" t="s">
        <v>621</v>
      </c>
      <c r="B10" s="44">
        <v>1</v>
      </c>
      <c r="C10" s="1"/>
      <c r="D10" s="2"/>
      <c r="E10" s="2"/>
    </row>
    <row r="11" spans="1:7" ht="30" customHeight="1">
      <c r="A11" s="34" t="s">
        <v>890</v>
      </c>
      <c r="B11" s="44">
        <v>1</v>
      </c>
      <c r="C11" s="1"/>
      <c r="D11" s="2"/>
      <c r="E11" s="2"/>
    </row>
    <row r="12" spans="1:7" ht="30" customHeight="1">
      <c r="A12" s="34" t="s">
        <v>19</v>
      </c>
      <c r="B12" s="44">
        <v>1</v>
      </c>
      <c r="C12" s="1"/>
      <c r="D12" s="2"/>
      <c r="E12" s="2"/>
    </row>
    <row r="13" spans="1:7" ht="16">
      <c r="A13" s="37" t="s">
        <v>66</v>
      </c>
      <c r="B13" s="38">
        <f>SUM(B3:B12)</f>
        <v>11</v>
      </c>
      <c r="G13" s="41"/>
    </row>
    <row r="15" spans="1:7">
      <c r="A15" s="4"/>
    </row>
    <row r="18" spans="6:7">
      <c r="F18" t="s">
        <v>8</v>
      </c>
    </row>
    <row r="23" spans="6:7">
      <c r="G23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view="pageBreakPreview" zoomScale="80" zoomScaleNormal="60" zoomScaleSheetLayoutView="80" workbookViewId="0">
      <selection activeCell="B5" sqref="B5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620</v>
      </c>
      <c r="B3" s="44">
        <v>1</v>
      </c>
      <c r="C3">
        <v>1</v>
      </c>
    </row>
    <row r="4" spans="1:7" ht="30" customHeight="1">
      <c r="A4" s="34" t="s">
        <v>621</v>
      </c>
      <c r="B4" s="44">
        <v>1</v>
      </c>
    </row>
    <row r="5" spans="1:7" ht="30" customHeight="1">
      <c r="A5" s="34" t="s">
        <v>616</v>
      </c>
      <c r="B5" s="44">
        <v>2</v>
      </c>
    </row>
    <row r="6" spans="1:7" ht="30" customHeight="1">
      <c r="A6" s="34" t="s">
        <v>569</v>
      </c>
      <c r="B6" s="44">
        <v>1</v>
      </c>
      <c r="C6" s="1"/>
      <c r="D6" s="2"/>
      <c r="E6" s="2"/>
    </row>
    <row r="7" spans="1:7" ht="30" customHeight="1">
      <c r="A7" s="34" t="s">
        <v>77</v>
      </c>
      <c r="B7" s="44">
        <v>1</v>
      </c>
      <c r="C7" s="1"/>
      <c r="D7" s="2"/>
      <c r="E7" s="2"/>
    </row>
    <row r="8" spans="1:7" ht="30" customHeight="1">
      <c r="A8" s="34" t="s">
        <v>587</v>
      </c>
      <c r="B8" s="60">
        <v>2</v>
      </c>
    </row>
    <row r="9" spans="1:7" ht="30" customHeight="1">
      <c r="A9" s="34" t="s">
        <v>46</v>
      </c>
      <c r="B9" s="44">
        <v>1</v>
      </c>
    </row>
    <row r="10" spans="1:7" ht="30" customHeight="1">
      <c r="A10" s="34" t="s">
        <v>558</v>
      </c>
      <c r="B10" s="44">
        <v>2</v>
      </c>
      <c r="C10" s="1"/>
      <c r="D10" s="2"/>
      <c r="E10" s="2"/>
    </row>
    <row r="11" spans="1:7" ht="30" customHeight="1">
      <c r="A11" s="34" t="s">
        <v>571</v>
      </c>
      <c r="B11" s="44">
        <v>2</v>
      </c>
      <c r="C11" s="1"/>
      <c r="D11" s="2"/>
      <c r="E11" s="2"/>
    </row>
    <row r="12" spans="1:7" ht="30" customHeight="1">
      <c r="A12" s="34" t="s">
        <v>62</v>
      </c>
      <c r="B12" s="44">
        <v>1</v>
      </c>
      <c r="C12" s="1"/>
      <c r="D12" s="2"/>
      <c r="E12" s="2"/>
    </row>
    <row r="13" spans="1:7" ht="16">
      <c r="A13" s="37" t="s">
        <v>66</v>
      </c>
      <c r="B13" s="38">
        <f>SUM(B3:B12)</f>
        <v>14</v>
      </c>
      <c r="G13" s="41"/>
    </row>
    <row r="15" spans="1:7">
      <c r="A15" s="4"/>
    </row>
    <row r="18" spans="6:7">
      <c r="F18" t="s">
        <v>8</v>
      </c>
    </row>
    <row r="23" spans="6:7">
      <c r="G23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view="pageBreakPreview" zoomScale="80" zoomScaleNormal="60" zoomScaleSheetLayoutView="80" workbookViewId="0">
      <selection activeCell="A11" sqref="A11:XFD12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79</v>
      </c>
      <c r="B3" s="44">
        <v>1</v>
      </c>
    </row>
    <row r="4" spans="1:7" ht="30" customHeight="1">
      <c r="A4" s="34" t="s">
        <v>29</v>
      </c>
      <c r="B4" s="44">
        <v>4</v>
      </c>
    </row>
    <row r="5" spans="1:7" ht="30" customHeight="1">
      <c r="A5" s="34" t="s">
        <v>53</v>
      </c>
      <c r="B5" s="44">
        <v>2</v>
      </c>
      <c r="C5" s="1"/>
      <c r="D5" s="2"/>
      <c r="E5" s="2"/>
    </row>
    <row r="6" spans="1:7" ht="30" customHeight="1">
      <c r="A6" s="34" t="s">
        <v>588</v>
      </c>
      <c r="B6" s="44">
        <v>1</v>
      </c>
      <c r="C6" s="1"/>
      <c r="D6" s="2"/>
      <c r="E6" s="2"/>
    </row>
    <row r="7" spans="1:7" ht="30" customHeight="1">
      <c r="A7" s="34" t="s">
        <v>455</v>
      </c>
      <c r="B7" s="44">
        <v>2</v>
      </c>
      <c r="C7" s="1"/>
      <c r="D7" s="2"/>
      <c r="E7" s="2"/>
    </row>
    <row r="8" spans="1:7" ht="30" customHeight="1">
      <c r="A8" s="34" t="s">
        <v>90</v>
      </c>
      <c r="B8" s="44">
        <v>2</v>
      </c>
      <c r="C8" s="1"/>
      <c r="D8" s="2"/>
      <c r="E8" s="2"/>
    </row>
    <row r="9" spans="1:7" ht="30" customHeight="1">
      <c r="A9" s="34" t="s">
        <v>575</v>
      </c>
      <c r="B9" s="44">
        <v>1</v>
      </c>
      <c r="C9" s="1"/>
      <c r="D9" s="2"/>
      <c r="E9" s="2"/>
    </row>
    <row r="10" spans="1:7" ht="30" customHeight="1">
      <c r="A10" s="34" t="s">
        <v>167</v>
      </c>
      <c r="B10" s="44">
        <v>1</v>
      </c>
      <c r="C10" s="1"/>
      <c r="D10" s="2"/>
      <c r="E10" s="2"/>
    </row>
    <row r="11" spans="1:7" ht="16">
      <c r="A11" s="37" t="s">
        <v>66</v>
      </c>
      <c r="B11" s="38">
        <f>SUM(B3:B10)</f>
        <v>14</v>
      </c>
      <c r="G11" s="41"/>
    </row>
    <row r="13" spans="1:7">
      <c r="A13" s="4"/>
    </row>
    <row r="21" spans="7:7">
      <c r="G21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"/>
  <sheetViews>
    <sheetView view="pageBreakPreview" topLeftCell="A2" zoomScale="80" zoomScaleNormal="60" zoomScaleSheetLayoutView="80" workbookViewId="0">
      <selection activeCell="G20" sqref="G20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573</v>
      </c>
      <c r="B3" s="44">
        <v>4</v>
      </c>
    </row>
    <row r="4" spans="1:7" ht="30" customHeight="1">
      <c r="A4" s="34" t="s">
        <v>29</v>
      </c>
      <c r="B4" s="44">
        <v>3</v>
      </c>
    </row>
    <row r="5" spans="1:7" ht="30" customHeight="1">
      <c r="A5" s="34" t="s">
        <v>316</v>
      </c>
      <c r="B5" s="44">
        <v>1</v>
      </c>
      <c r="C5" s="1"/>
      <c r="D5" s="2"/>
      <c r="E5" s="2"/>
    </row>
    <row r="6" spans="1:7" ht="30" customHeight="1">
      <c r="A6" s="34" t="s">
        <v>574</v>
      </c>
      <c r="B6" s="44">
        <v>2</v>
      </c>
      <c r="C6" s="1"/>
      <c r="D6" s="2"/>
      <c r="E6" s="2"/>
    </row>
    <row r="7" spans="1:7" ht="30" customHeight="1">
      <c r="A7" s="34" t="s">
        <v>541</v>
      </c>
      <c r="B7" s="44">
        <v>1</v>
      </c>
      <c r="C7" s="1"/>
      <c r="D7" s="2"/>
      <c r="E7" s="2"/>
    </row>
    <row r="8" spans="1:7" ht="30" customHeight="1">
      <c r="A8" s="34" t="s">
        <v>575</v>
      </c>
      <c r="B8" s="44">
        <v>1</v>
      </c>
      <c r="C8" s="1"/>
      <c r="D8" s="2"/>
      <c r="E8" s="2"/>
    </row>
    <row r="9" spans="1:7" ht="30" customHeight="1">
      <c r="A9" s="34" t="s">
        <v>167</v>
      </c>
      <c r="B9" s="44">
        <v>1</v>
      </c>
      <c r="C9" s="1"/>
      <c r="D9" s="2"/>
      <c r="E9" s="2"/>
    </row>
    <row r="10" spans="1:7" ht="30" customHeight="1">
      <c r="A10" s="34" t="s">
        <v>86</v>
      </c>
      <c r="B10" s="44">
        <v>1</v>
      </c>
      <c r="C10" s="1"/>
      <c r="D10" s="2"/>
      <c r="E10" s="2"/>
    </row>
    <row r="11" spans="1:7" ht="30" customHeight="1">
      <c r="A11" s="34" t="s">
        <v>90</v>
      </c>
      <c r="B11" s="44">
        <v>4</v>
      </c>
      <c r="C11" s="1"/>
      <c r="D11" s="2"/>
      <c r="E11" s="2"/>
    </row>
    <row r="12" spans="1:7" ht="30" customHeight="1">
      <c r="A12" s="34" t="s">
        <v>516</v>
      </c>
      <c r="B12" s="44">
        <v>1</v>
      </c>
      <c r="C12" s="1"/>
      <c r="D12" s="2"/>
      <c r="E12" s="2"/>
    </row>
    <row r="13" spans="1:7" ht="16">
      <c r="A13" s="37" t="s">
        <v>66</v>
      </c>
      <c r="B13" s="38">
        <f>SUM(B3:B12)</f>
        <v>19</v>
      </c>
      <c r="G13" s="41"/>
    </row>
    <row r="15" spans="1:7">
      <c r="A15" s="4"/>
    </row>
    <row r="23" spans="7:7">
      <c r="G23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4"/>
  <sheetViews>
    <sheetView view="pageBreakPreview" zoomScale="80" zoomScaleNormal="60" zoomScaleSheetLayoutView="80" workbookViewId="0">
      <selection activeCell="G11" sqref="G11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565</v>
      </c>
      <c r="B3" s="44">
        <v>2</v>
      </c>
      <c r="C3">
        <v>1</v>
      </c>
    </row>
    <row r="4" spans="1:7" ht="30" customHeight="1">
      <c r="A4" s="34" t="s">
        <v>566</v>
      </c>
      <c r="B4" s="44">
        <v>2</v>
      </c>
    </row>
    <row r="5" spans="1:7" ht="30" customHeight="1">
      <c r="A5" s="34" t="s">
        <v>567</v>
      </c>
      <c r="B5" s="44">
        <v>1</v>
      </c>
      <c r="C5" s="1"/>
      <c r="D5" s="2"/>
      <c r="E5" s="2"/>
    </row>
    <row r="6" spans="1:7" ht="30" customHeight="1">
      <c r="A6" s="34" t="s">
        <v>46</v>
      </c>
      <c r="B6" s="44">
        <v>2</v>
      </c>
      <c r="C6" s="1"/>
      <c r="D6" s="2"/>
      <c r="E6" s="2"/>
    </row>
    <row r="7" spans="1:7" ht="30" customHeight="1">
      <c r="A7" s="34" t="s">
        <v>568</v>
      </c>
      <c r="B7" s="60">
        <v>2</v>
      </c>
    </row>
    <row r="8" spans="1:7" ht="30" customHeight="1">
      <c r="A8" s="34" t="s">
        <v>569</v>
      </c>
      <c r="B8" s="44">
        <v>1</v>
      </c>
    </row>
    <row r="9" spans="1:7" ht="30" customHeight="1">
      <c r="A9" s="34" t="s">
        <v>526</v>
      </c>
      <c r="B9" s="44">
        <v>3</v>
      </c>
      <c r="C9" s="1"/>
      <c r="D9" s="2"/>
      <c r="E9" s="2"/>
    </row>
    <row r="10" spans="1:7" ht="30" customHeight="1">
      <c r="A10" s="34" t="s">
        <v>571</v>
      </c>
      <c r="B10" s="44">
        <v>5</v>
      </c>
      <c r="C10" s="1"/>
      <c r="D10" s="2"/>
      <c r="E10" s="2"/>
    </row>
    <row r="11" spans="1:7" ht="30" customHeight="1">
      <c r="A11" s="34" t="s">
        <v>572</v>
      </c>
      <c r="B11" s="44">
        <v>1</v>
      </c>
      <c r="C11" s="1"/>
      <c r="D11" s="2"/>
      <c r="E11" s="2"/>
    </row>
    <row r="12" spans="1:7" ht="30" customHeight="1">
      <c r="A12" s="34" t="s">
        <v>62</v>
      </c>
      <c r="B12" s="44">
        <v>1</v>
      </c>
      <c r="C12" s="1"/>
      <c r="D12" s="2"/>
      <c r="E12" s="2"/>
    </row>
    <row r="13" spans="1:7" ht="30" customHeight="1">
      <c r="A13" s="34" t="s">
        <v>60</v>
      </c>
      <c r="B13" s="44">
        <v>1</v>
      </c>
      <c r="C13" s="1"/>
      <c r="D13" s="2"/>
      <c r="E13" s="2"/>
    </row>
    <row r="14" spans="1:7" ht="16">
      <c r="A14" s="37" t="s">
        <v>66</v>
      </c>
      <c r="B14" s="38">
        <f>SUM(B3:B13)</f>
        <v>21</v>
      </c>
      <c r="G14" s="41"/>
    </row>
    <row r="16" spans="1:7">
      <c r="A16" s="4"/>
    </row>
    <row r="19" spans="6:7">
      <c r="F19" t="s">
        <v>8</v>
      </c>
    </row>
    <row r="24" spans="6:7">
      <c r="G24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"/>
  <sheetViews>
    <sheetView view="pageBreakPreview" zoomScale="80" zoomScaleNormal="60" zoomScaleSheetLayoutView="80" workbookViewId="0">
      <selection activeCell="B12" sqref="B12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514</v>
      </c>
      <c r="B3" s="44">
        <v>3</v>
      </c>
    </row>
    <row r="4" spans="1:7" ht="30" customHeight="1">
      <c r="A4" s="34" t="s">
        <v>316</v>
      </c>
      <c r="B4" s="44">
        <v>1</v>
      </c>
    </row>
    <row r="5" spans="1:7" ht="30" customHeight="1">
      <c r="A5" s="34" t="s">
        <v>515</v>
      </c>
      <c r="B5" s="44">
        <v>1</v>
      </c>
      <c r="C5" s="1"/>
      <c r="D5" s="2"/>
      <c r="E5" s="2"/>
    </row>
    <row r="6" spans="1:7" ht="30" customHeight="1">
      <c r="A6" s="34" t="s">
        <v>516</v>
      </c>
      <c r="B6" s="44">
        <v>6</v>
      </c>
      <c r="C6" s="1"/>
      <c r="D6" s="2"/>
      <c r="E6" s="2"/>
    </row>
    <row r="7" spans="1:7" ht="30" customHeight="1">
      <c r="A7" s="34" t="s">
        <v>517</v>
      </c>
      <c r="B7" s="44">
        <v>1</v>
      </c>
      <c r="C7" s="1"/>
      <c r="D7" s="2"/>
      <c r="E7" s="2"/>
    </row>
    <row r="8" spans="1:7" ht="30" customHeight="1">
      <c r="A8" s="34" t="s">
        <v>29</v>
      </c>
      <c r="B8" s="44">
        <v>2</v>
      </c>
      <c r="C8" s="1"/>
      <c r="D8" s="2"/>
      <c r="E8" s="2"/>
    </row>
    <row r="9" spans="1:7" ht="30" customHeight="1">
      <c r="A9" s="34" t="s">
        <v>84</v>
      </c>
      <c r="B9" s="44">
        <v>1</v>
      </c>
      <c r="C9" s="1"/>
      <c r="D9" s="2"/>
      <c r="E9" s="2"/>
    </row>
    <row r="10" spans="1:7" ht="30" customHeight="1">
      <c r="A10" s="34" t="s">
        <v>518</v>
      </c>
      <c r="B10" s="44">
        <v>1</v>
      </c>
      <c r="C10" s="1"/>
      <c r="D10" s="2"/>
      <c r="E10" s="2"/>
    </row>
    <row r="11" spans="1:7" ht="30" customHeight="1">
      <c r="A11" s="34" t="s">
        <v>35</v>
      </c>
      <c r="B11" s="44">
        <v>1</v>
      </c>
      <c r="C11" s="1"/>
      <c r="D11" s="2"/>
      <c r="E11" s="2"/>
    </row>
    <row r="12" spans="1:7" ht="30" customHeight="1">
      <c r="A12" s="34" t="s">
        <v>463</v>
      </c>
      <c r="B12" s="44">
        <v>1</v>
      </c>
      <c r="C12" s="1"/>
      <c r="D12" s="2"/>
      <c r="E12" s="2"/>
    </row>
    <row r="13" spans="1:7" ht="16">
      <c r="A13" s="37" t="s">
        <v>66</v>
      </c>
      <c r="B13" s="38">
        <f>SUM(B3:B12)</f>
        <v>18</v>
      </c>
      <c r="G13" s="41"/>
    </row>
    <row r="15" spans="1:7">
      <c r="A15" s="4"/>
    </row>
    <row r="23" spans="7:7">
      <c r="G23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6"/>
  <sheetViews>
    <sheetView view="pageBreakPreview" topLeftCell="A7" zoomScale="80" zoomScaleNormal="60" zoomScaleSheetLayoutView="80" workbookViewId="0">
      <selection activeCell="D14" sqref="D14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434</v>
      </c>
      <c r="B3" s="44">
        <v>1</v>
      </c>
    </row>
    <row r="4" spans="1:7" ht="30" customHeight="1">
      <c r="A4" s="34" t="s">
        <v>452</v>
      </c>
      <c r="B4" s="44">
        <v>1</v>
      </c>
    </row>
    <row r="5" spans="1:7" ht="30" customHeight="1">
      <c r="A5" s="34" t="s">
        <v>384</v>
      </c>
      <c r="B5" s="44">
        <v>1</v>
      </c>
      <c r="C5" s="1"/>
      <c r="D5" s="2"/>
      <c r="E5" s="2"/>
    </row>
    <row r="6" spans="1:7" ht="30" customHeight="1">
      <c r="A6" s="34" t="s">
        <v>520</v>
      </c>
      <c r="B6" s="44">
        <v>1</v>
      </c>
      <c r="C6" s="1"/>
      <c r="D6" s="2"/>
      <c r="E6" s="2"/>
    </row>
    <row r="7" spans="1:7" ht="30" customHeight="1">
      <c r="A7" s="34" t="s">
        <v>521</v>
      </c>
      <c r="B7" s="60">
        <v>1</v>
      </c>
    </row>
    <row r="8" spans="1:7" ht="30" customHeight="1">
      <c r="A8" s="34" t="s">
        <v>528</v>
      </c>
      <c r="B8" s="44">
        <v>4</v>
      </c>
    </row>
    <row r="9" spans="1:7" ht="30" customHeight="1">
      <c r="A9" s="34" t="s">
        <v>522</v>
      </c>
      <c r="B9" s="44">
        <v>1</v>
      </c>
      <c r="C9" s="1"/>
      <c r="D9" s="2"/>
      <c r="E9" s="2"/>
    </row>
    <row r="10" spans="1:7" ht="30" customHeight="1">
      <c r="A10" s="34" t="s">
        <v>523</v>
      </c>
      <c r="B10" s="44">
        <v>1</v>
      </c>
      <c r="C10" s="1"/>
      <c r="D10" s="2"/>
      <c r="E10" s="2"/>
    </row>
    <row r="11" spans="1:7" ht="30" customHeight="1">
      <c r="A11" s="34" t="s">
        <v>524</v>
      </c>
      <c r="B11" s="44">
        <v>1</v>
      </c>
      <c r="C11" s="1"/>
      <c r="D11" s="2"/>
      <c r="E11" s="2"/>
    </row>
    <row r="12" spans="1:7" ht="30" customHeight="1">
      <c r="A12" s="34" t="s">
        <v>525</v>
      </c>
      <c r="B12" s="44">
        <v>1</v>
      </c>
      <c r="C12" s="1"/>
      <c r="D12" s="2"/>
      <c r="E12" s="2"/>
    </row>
    <row r="13" spans="1:7" ht="30" customHeight="1">
      <c r="A13" s="34" t="s">
        <v>526</v>
      </c>
      <c r="B13" s="44">
        <v>3</v>
      </c>
      <c r="C13" s="1"/>
      <c r="D13" s="2"/>
      <c r="E13" s="2"/>
    </row>
    <row r="14" spans="1:7" ht="30" customHeight="1">
      <c r="A14" s="34" t="s">
        <v>527</v>
      </c>
      <c r="B14" s="44">
        <v>1</v>
      </c>
      <c r="C14" s="1"/>
      <c r="D14" s="2"/>
      <c r="E14" s="2"/>
    </row>
    <row r="15" spans="1:7" ht="30" customHeight="1">
      <c r="A15" s="34" t="s">
        <v>60</v>
      </c>
      <c r="B15" s="44">
        <v>2</v>
      </c>
      <c r="C15" s="1"/>
      <c r="D15" s="2"/>
      <c r="E15" s="2"/>
    </row>
    <row r="16" spans="1:7" ht="16">
      <c r="A16" s="37" t="s">
        <v>66</v>
      </c>
      <c r="B16" s="38">
        <f>SUM(B3:B15)</f>
        <v>19</v>
      </c>
      <c r="G16" s="41"/>
    </row>
    <row r="18" spans="1:7">
      <c r="A18" s="4"/>
    </row>
    <row r="21" spans="1:7">
      <c r="F21" t="s">
        <v>8</v>
      </c>
    </row>
    <row r="26" spans="1:7">
      <c r="G26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view="pageBreakPreview" topLeftCell="A4" zoomScale="80" zoomScaleNormal="60" zoomScaleSheetLayoutView="80" workbookViewId="0">
      <selection activeCell="B12" sqref="B12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514</v>
      </c>
      <c r="B3" s="44">
        <v>3</v>
      </c>
    </row>
    <row r="4" spans="1:7" ht="30" customHeight="1">
      <c r="A4" s="34" t="s">
        <v>316</v>
      </c>
      <c r="B4" s="44">
        <v>1</v>
      </c>
    </row>
    <row r="5" spans="1:7" ht="30" customHeight="1">
      <c r="A5" s="34" t="s">
        <v>515</v>
      </c>
      <c r="B5" s="44">
        <v>1</v>
      </c>
      <c r="C5" s="1"/>
      <c r="D5" s="2"/>
      <c r="E5" s="2"/>
    </row>
    <row r="6" spans="1:7" ht="30" customHeight="1">
      <c r="A6" s="34" t="s">
        <v>516</v>
      </c>
      <c r="B6" s="44">
        <v>6</v>
      </c>
      <c r="C6" s="1"/>
      <c r="D6" s="2"/>
      <c r="E6" s="2"/>
    </row>
    <row r="7" spans="1:7" ht="30" customHeight="1">
      <c r="A7" s="34" t="s">
        <v>517</v>
      </c>
      <c r="B7" s="44">
        <v>1</v>
      </c>
      <c r="C7" s="1"/>
      <c r="D7" s="2"/>
      <c r="E7" s="2"/>
    </row>
    <row r="8" spans="1:7" ht="30" customHeight="1">
      <c r="A8" s="34" t="s">
        <v>29</v>
      </c>
      <c r="B8" s="44">
        <v>2</v>
      </c>
      <c r="C8" s="1"/>
      <c r="D8" s="2"/>
      <c r="E8" s="2"/>
    </row>
    <row r="9" spans="1:7" ht="30" customHeight="1">
      <c r="A9" s="34" t="s">
        <v>84</v>
      </c>
      <c r="B9" s="44">
        <v>1</v>
      </c>
      <c r="C9" s="1"/>
      <c r="D9" s="2"/>
      <c r="E9" s="2"/>
    </row>
    <row r="10" spans="1:7" ht="30" customHeight="1">
      <c r="A10" s="34" t="s">
        <v>518</v>
      </c>
      <c r="B10" s="44">
        <v>1</v>
      </c>
      <c r="C10" s="1"/>
      <c r="D10" s="2"/>
      <c r="E10" s="2"/>
    </row>
    <row r="11" spans="1:7" ht="30" customHeight="1">
      <c r="A11" s="34" t="s">
        <v>35</v>
      </c>
      <c r="B11" s="44">
        <v>1</v>
      </c>
      <c r="C11" s="1"/>
      <c r="D11" s="2"/>
      <c r="E11" s="2"/>
    </row>
    <row r="12" spans="1:7" ht="30" customHeight="1">
      <c r="A12" s="34" t="s">
        <v>463</v>
      </c>
      <c r="B12" s="44">
        <v>1</v>
      </c>
      <c r="C12" s="1"/>
      <c r="D12" s="2"/>
      <c r="E12" s="2"/>
    </row>
    <row r="13" spans="1:7" ht="16">
      <c r="A13" s="37" t="s">
        <v>66</v>
      </c>
      <c r="B13" s="38">
        <f>SUM(B3:B12)</f>
        <v>18</v>
      </c>
      <c r="G13" s="41"/>
    </row>
    <row r="15" spans="1:7">
      <c r="A15" s="4"/>
    </row>
    <row r="23" spans="7:7">
      <c r="G23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9"/>
  <sheetViews>
    <sheetView view="pageBreakPreview" zoomScale="80" zoomScaleNormal="60" zoomScaleSheetLayoutView="80" workbookViewId="0">
      <selection activeCell="F2" sqref="F2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392</v>
      </c>
      <c r="B3" s="44">
        <v>1</v>
      </c>
    </row>
    <row r="4" spans="1:7" ht="30" customHeight="1">
      <c r="A4" s="34" t="s">
        <v>447</v>
      </c>
      <c r="B4" s="44">
        <v>1</v>
      </c>
    </row>
    <row r="5" spans="1:7" ht="30" customHeight="1">
      <c r="A5" s="34" t="s">
        <v>419</v>
      </c>
      <c r="B5" s="44">
        <v>1</v>
      </c>
      <c r="C5" s="1"/>
      <c r="D5" s="2"/>
      <c r="E5" s="2"/>
    </row>
    <row r="6" spans="1:7" ht="30" customHeight="1">
      <c r="A6" s="34" t="s">
        <v>167</v>
      </c>
      <c r="B6" s="44">
        <v>1</v>
      </c>
      <c r="C6" s="1"/>
      <c r="D6" s="2"/>
      <c r="E6" s="2"/>
    </row>
    <row r="7" spans="1:7" ht="30" customHeight="1">
      <c r="A7" s="34" t="s">
        <v>73</v>
      </c>
      <c r="B7" s="44">
        <v>1</v>
      </c>
      <c r="C7" s="1"/>
      <c r="D7" s="2"/>
      <c r="E7" s="2"/>
    </row>
    <row r="8" spans="1:7" ht="30" customHeight="1">
      <c r="A8" s="34" t="s">
        <v>82</v>
      </c>
      <c r="B8" s="44">
        <v>1</v>
      </c>
      <c r="C8" s="1"/>
      <c r="D8" s="2"/>
      <c r="E8" s="2"/>
    </row>
    <row r="9" spans="1:7" ht="16">
      <c r="A9" s="37" t="s">
        <v>66</v>
      </c>
      <c r="B9" s="38">
        <f>SUM(B3:B8)</f>
        <v>6</v>
      </c>
      <c r="G9" s="41"/>
    </row>
    <row r="11" spans="1:7">
      <c r="A11" s="4"/>
    </row>
    <row r="19" spans="7:7">
      <c r="G19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7"/>
  <sheetViews>
    <sheetView view="pageBreakPreview" zoomScale="80" zoomScaleNormal="60" zoomScaleSheetLayoutView="80" workbookViewId="0">
      <selection activeCell="B9" sqref="B9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444</v>
      </c>
      <c r="B3" s="44">
        <v>1</v>
      </c>
    </row>
    <row r="4" spans="1:7" ht="30" customHeight="1">
      <c r="A4" s="34" t="s">
        <v>327</v>
      </c>
      <c r="B4" s="44">
        <v>3</v>
      </c>
    </row>
    <row r="5" spans="1:7" ht="30" customHeight="1">
      <c r="A5" s="34" t="s">
        <v>445</v>
      </c>
      <c r="B5" s="44">
        <v>1</v>
      </c>
      <c r="C5" s="1"/>
      <c r="D5" s="2"/>
      <c r="E5" s="2"/>
    </row>
    <row r="6" spans="1:7" ht="30" customHeight="1">
      <c r="A6" s="34" t="s">
        <v>446</v>
      </c>
      <c r="B6" s="44">
        <v>1</v>
      </c>
      <c r="C6" s="1"/>
      <c r="D6" s="2"/>
      <c r="E6" s="2"/>
    </row>
    <row r="7" spans="1:7" ht="16">
      <c r="A7" s="37" t="s">
        <v>66</v>
      </c>
      <c r="B7" s="38">
        <f>SUM(B3:B6)</f>
        <v>6</v>
      </c>
      <c r="G7" s="41"/>
    </row>
    <row r="9" spans="1:7">
      <c r="A9" s="4"/>
    </row>
    <row r="12" spans="1:7">
      <c r="F12" t="s">
        <v>8</v>
      </c>
    </row>
    <row r="17" spans="7:7">
      <c r="G17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2"/>
  <sheetViews>
    <sheetView view="pageBreakPreview" zoomScale="80" zoomScaleNormal="60" zoomScaleSheetLayoutView="80" workbookViewId="0">
      <selection activeCell="B6" sqref="B6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384</v>
      </c>
      <c r="B3" s="44">
        <v>1</v>
      </c>
    </row>
    <row r="4" spans="1:7" ht="30" customHeight="1">
      <c r="A4" s="34" t="s">
        <v>164</v>
      </c>
      <c r="B4" s="44">
        <v>1</v>
      </c>
    </row>
    <row r="5" spans="1:7" ht="30" customHeight="1">
      <c r="A5" s="34" t="s">
        <v>385</v>
      </c>
      <c r="B5" s="44">
        <v>1</v>
      </c>
      <c r="C5" s="1"/>
      <c r="D5" s="2"/>
      <c r="E5" s="2"/>
    </row>
    <row r="6" spans="1:7" ht="30" customHeight="1">
      <c r="A6" s="34" t="s">
        <v>386</v>
      </c>
      <c r="B6" s="44">
        <v>2</v>
      </c>
      <c r="C6" s="1"/>
      <c r="D6" s="2"/>
      <c r="E6" s="2"/>
    </row>
    <row r="7" spans="1:7" ht="30" customHeight="1">
      <c r="A7" s="34" t="s">
        <v>57</v>
      </c>
      <c r="B7" s="44">
        <v>1</v>
      </c>
      <c r="C7" s="1"/>
      <c r="D7" s="2"/>
      <c r="E7" s="2"/>
    </row>
    <row r="8" spans="1:7" ht="30" customHeight="1">
      <c r="A8" s="34" t="s">
        <v>327</v>
      </c>
      <c r="B8" s="44">
        <v>11</v>
      </c>
      <c r="C8" s="1"/>
      <c r="D8" s="2"/>
      <c r="E8" s="2"/>
    </row>
    <row r="9" spans="1:7" ht="30" customHeight="1">
      <c r="A9" s="34" t="s">
        <v>387</v>
      </c>
      <c r="B9" s="44">
        <v>1</v>
      </c>
      <c r="C9" s="1"/>
      <c r="D9" s="2"/>
      <c r="E9" s="2"/>
    </row>
    <row r="10" spans="1:7" ht="30" customHeight="1">
      <c r="A10" s="34" t="s">
        <v>388</v>
      </c>
      <c r="B10" s="44">
        <v>2</v>
      </c>
      <c r="C10" s="1"/>
      <c r="D10" s="2"/>
      <c r="E10" s="2"/>
    </row>
    <row r="11" spans="1:7" ht="30" customHeight="1">
      <c r="A11" s="34" t="s">
        <v>390</v>
      </c>
      <c r="B11" s="44">
        <v>1</v>
      </c>
      <c r="C11" s="1"/>
      <c r="D11" s="2"/>
      <c r="E11" s="2"/>
    </row>
    <row r="12" spans="1:7" ht="16">
      <c r="A12" s="37" t="s">
        <v>66</v>
      </c>
      <c r="B12" s="38">
        <f>SUM(B3:B11)</f>
        <v>21</v>
      </c>
      <c r="G12" s="41"/>
    </row>
    <row r="14" spans="1:7">
      <c r="A14" s="4"/>
    </row>
    <row r="17" spans="6:7">
      <c r="F17" t="s">
        <v>8</v>
      </c>
    </row>
    <row r="22" spans="6:7">
      <c r="G22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9"/>
  <sheetViews>
    <sheetView view="pageBreakPreview" zoomScale="80" zoomScaleNormal="60" zoomScaleSheetLayoutView="80" workbookViewId="0">
      <selection activeCell="F14" sqref="F14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29</v>
      </c>
      <c r="B3" s="44">
        <v>3</v>
      </c>
    </row>
    <row r="4" spans="1:7" ht="30" customHeight="1">
      <c r="A4" s="34" t="s">
        <v>85</v>
      </c>
      <c r="B4" s="44">
        <v>1</v>
      </c>
    </row>
    <row r="5" spans="1:7" ht="30" customHeight="1">
      <c r="A5" s="34" t="s">
        <v>316</v>
      </c>
      <c r="B5" s="44">
        <v>9</v>
      </c>
      <c r="C5" s="1"/>
      <c r="D5" s="2"/>
      <c r="E5" s="2"/>
    </row>
    <row r="6" spans="1:7" ht="30" customHeight="1">
      <c r="A6" s="34" t="s">
        <v>383</v>
      </c>
      <c r="B6" s="44">
        <v>2</v>
      </c>
      <c r="C6" s="1"/>
      <c r="D6" s="2"/>
      <c r="E6" s="2"/>
    </row>
    <row r="7" spans="1:7" ht="30" customHeight="1">
      <c r="A7" s="34" t="s">
        <v>73</v>
      </c>
      <c r="B7" s="44">
        <v>4</v>
      </c>
      <c r="C7" s="1"/>
      <c r="D7" s="2"/>
      <c r="E7" s="2"/>
    </row>
    <row r="8" spans="1:7" ht="30" customHeight="1">
      <c r="A8" s="34" t="s">
        <v>354</v>
      </c>
      <c r="B8" s="44">
        <v>1</v>
      </c>
      <c r="C8" s="1"/>
      <c r="D8" s="2"/>
      <c r="E8" s="2"/>
    </row>
    <row r="9" spans="1:7" ht="16">
      <c r="A9" s="37" t="s">
        <v>66</v>
      </c>
      <c r="B9" s="38">
        <f>SUM(B3:B8)</f>
        <v>20</v>
      </c>
      <c r="G9" s="41"/>
    </row>
    <row r="11" spans="1:7">
      <c r="A11" s="4"/>
    </row>
    <row r="19" spans="7:7">
      <c r="G19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2"/>
  <sheetViews>
    <sheetView view="pageBreakPreview" zoomScale="80" zoomScaleNormal="60" zoomScaleSheetLayoutView="80" workbookViewId="0">
      <selection activeCell="B15" sqref="B15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0</v>
      </c>
      <c r="B2" s="36" t="s">
        <v>26</v>
      </c>
    </row>
    <row r="3" spans="1:7" ht="30" customHeight="1">
      <c r="A3" s="34" t="s">
        <v>92</v>
      </c>
      <c r="B3" s="44">
        <v>2</v>
      </c>
    </row>
    <row r="4" spans="1:7" ht="30" customHeight="1">
      <c r="A4" s="34" t="s">
        <v>29</v>
      </c>
      <c r="B4" s="44">
        <v>1</v>
      </c>
    </row>
    <row r="5" spans="1:7" ht="30" customHeight="1">
      <c r="A5" s="34" t="s">
        <v>310</v>
      </c>
      <c r="B5" s="44">
        <v>1</v>
      </c>
      <c r="C5" s="1"/>
      <c r="D5" s="2"/>
      <c r="E5" s="2"/>
    </row>
    <row r="6" spans="1:7" ht="30" customHeight="1">
      <c r="A6" s="34" t="s">
        <v>248</v>
      </c>
      <c r="B6" s="44">
        <v>1</v>
      </c>
      <c r="C6" s="1"/>
      <c r="D6" s="2"/>
      <c r="E6" s="2"/>
    </row>
    <row r="7" spans="1:7" ht="30" customHeight="1">
      <c r="A7" s="34" t="s">
        <v>133</v>
      </c>
      <c r="B7" s="44">
        <v>2</v>
      </c>
      <c r="C7" s="1"/>
      <c r="D7" s="2"/>
      <c r="E7" s="2"/>
    </row>
    <row r="8" spans="1:7" ht="30" customHeight="1">
      <c r="A8" s="34" t="s">
        <v>53</v>
      </c>
      <c r="B8" s="44">
        <v>2</v>
      </c>
      <c r="C8" s="1"/>
      <c r="D8" s="2"/>
      <c r="E8" s="2"/>
    </row>
    <row r="9" spans="1:7" ht="30" customHeight="1">
      <c r="A9" s="34" t="s">
        <v>85</v>
      </c>
      <c r="B9" s="44">
        <v>2</v>
      </c>
      <c r="C9" s="1"/>
      <c r="D9" s="2"/>
      <c r="E9" s="2"/>
    </row>
    <row r="10" spans="1:7" ht="30" customHeight="1">
      <c r="A10" s="34" t="s">
        <v>73</v>
      </c>
      <c r="B10" s="44">
        <v>1</v>
      </c>
      <c r="C10" s="1"/>
      <c r="D10" s="2"/>
      <c r="E10" s="2"/>
    </row>
    <row r="11" spans="1:7" ht="30" customHeight="1">
      <c r="A11" s="34" t="s">
        <v>128</v>
      </c>
      <c r="B11" s="44">
        <v>1</v>
      </c>
      <c r="C11" s="1"/>
      <c r="D11" s="2"/>
      <c r="E11" s="2"/>
    </row>
    <row r="12" spans="1:7" ht="16">
      <c r="A12" s="37" t="s">
        <v>66</v>
      </c>
      <c r="B12" s="38">
        <f>SUM(B3:B11)</f>
        <v>13</v>
      </c>
      <c r="G12" s="41"/>
    </row>
    <row r="14" spans="1:7">
      <c r="A14" s="4"/>
    </row>
    <row r="22" spans="7:7">
      <c r="G22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3"/>
  <sheetViews>
    <sheetView view="pageBreakPreview" zoomScale="80" zoomScaleNormal="60" zoomScaleSheetLayoutView="80" workbookViewId="0">
      <selection activeCell="D2" sqref="D2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8">
      <c r="A1" s="1"/>
      <c r="B1" s="1"/>
    </row>
    <row r="2" spans="1:8">
      <c r="A2" s="36" t="s">
        <v>63</v>
      </c>
      <c r="B2" s="36" t="s">
        <v>26</v>
      </c>
    </row>
    <row r="3" spans="1:8" ht="30" customHeight="1">
      <c r="A3" s="34" t="s">
        <v>258</v>
      </c>
      <c r="B3" s="44">
        <v>2</v>
      </c>
    </row>
    <row r="4" spans="1:8" ht="30" customHeight="1">
      <c r="A4" s="34" t="s">
        <v>19</v>
      </c>
      <c r="B4" s="44">
        <v>1</v>
      </c>
    </row>
    <row r="5" spans="1:8" ht="30" customHeight="1">
      <c r="A5" s="34" t="s">
        <v>164</v>
      </c>
      <c r="B5" s="44">
        <v>2</v>
      </c>
      <c r="C5" s="1"/>
      <c r="D5" s="2"/>
      <c r="E5" s="2"/>
    </row>
    <row r="6" spans="1:8" ht="30" customHeight="1">
      <c r="A6" s="34" t="s">
        <v>260</v>
      </c>
      <c r="B6" s="44">
        <v>1</v>
      </c>
      <c r="C6" s="1"/>
      <c r="D6" s="2"/>
      <c r="E6" s="2"/>
    </row>
    <row r="7" spans="1:8" ht="30" customHeight="1">
      <c r="A7" s="34" t="s">
        <v>159</v>
      </c>
      <c r="B7" s="44">
        <v>2</v>
      </c>
      <c r="C7" s="1"/>
      <c r="D7" s="2"/>
      <c r="E7" s="2"/>
    </row>
    <row r="8" spans="1:8" ht="30" customHeight="1">
      <c r="A8" s="34" t="s">
        <v>78</v>
      </c>
      <c r="B8" s="44">
        <v>2</v>
      </c>
      <c r="C8" s="1"/>
      <c r="D8" s="2"/>
      <c r="E8" s="2"/>
    </row>
    <row r="9" spans="1:8" ht="30" customHeight="1">
      <c r="A9" s="34" t="s">
        <v>259</v>
      </c>
      <c r="B9" s="44">
        <v>1</v>
      </c>
      <c r="C9" s="1"/>
      <c r="D9" s="2"/>
      <c r="E9" s="2"/>
    </row>
    <row r="10" spans="1:8" ht="30" customHeight="1">
      <c r="A10" s="34" t="s">
        <v>60</v>
      </c>
      <c r="B10" s="44">
        <v>1</v>
      </c>
      <c r="C10" s="1"/>
      <c r="D10" s="2"/>
      <c r="E10" s="2"/>
    </row>
    <row r="11" spans="1:8" ht="30" customHeight="1">
      <c r="A11" s="34" t="s">
        <v>62</v>
      </c>
      <c r="B11" s="44">
        <v>1</v>
      </c>
      <c r="C11" s="1"/>
      <c r="D11" s="2"/>
      <c r="E11" s="2"/>
    </row>
    <row r="12" spans="1:8" ht="30" customHeight="1">
      <c r="A12" s="34" t="s">
        <v>160</v>
      </c>
      <c r="B12" s="44">
        <v>1</v>
      </c>
      <c r="D12" s="3"/>
      <c r="E12" s="3"/>
      <c r="G12" s="1"/>
      <c r="H12" s="1"/>
    </row>
    <row r="13" spans="1:8" ht="16">
      <c r="A13" s="37" t="s">
        <v>66</v>
      </c>
      <c r="B13" s="38">
        <f>SUM(B3:B12)</f>
        <v>14</v>
      </c>
      <c r="G13" s="41"/>
    </row>
    <row r="15" spans="1:8">
      <c r="A15" s="4"/>
    </row>
    <row r="23" spans="7:7">
      <c r="G23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6"/>
  <sheetViews>
    <sheetView view="pageBreakPreview" zoomScale="80" zoomScaleNormal="60" zoomScaleSheetLayoutView="80" workbookViewId="0">
      <selection activeCell="I5" sqref="I5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72</v>
      </c>
      <c r="B2" s="36" t="s">
        <v>26</v>
      </c>
    </row>
    <row r="3" spans="1:7" ht="30" customHeight="1">
      <c r="A3" s="34" t="s">
        <v>212</v>
      </c>
      <c r="B3" s="44">
        <v>3</v>
      </c>
    </row>
    <row r="4" spans="1:7" ht="30" customHeight="1">
      <c r="A4" s="34" t="s">
        <v>73</v>
      </c>
      <c r="B4" s="44">
        <v>1</v>
      </c>
    </row>
    <row r="5" spans="1:7" ht="30" customHeight="1">
      <c r="A5" s="34" t="s">
        <v>316</v>
      </c>
      <c r="B5" s="44">
        <v>1</v>
      </c>
      <c r="C5" s="1"/>
      <c r="D5" s="2"/>
      <c r="E5" s="2"/>
    </row>
    <row r="6" spans="1:7" ht="16">
      <c r="A6" s="37" t="s">
        <v>66</v>
      </c>
      <c r="B6" s="38">
        <f>SUM(B3:B5)</f>
        <v>5</v>
      </c>
      <c r="G6" s="41"/>
    </row>
    <row r="8" spans="1:7">
      <c r="A8" s="4"/>
    </row>
    <row r="16" spans="1:7">
      <c r="G16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view="pageBreakPreview" zoomScale="80" zoomScaleNormal="60" zoomScaleSheetLayoutView="80" workbookViewId="0">
      <selection activeCell="G20" sqref="G20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63</v>
      </c>
      <c r="B2" s="36" t="s">
        <v>26</v>
      </c>
    </row>
    <row r="3" spans="1:7" ht="30" customHeight="1">
      <c r="A3" s="34" t="s">
        <v>312</v>
      </c>
      <c r="B3" s="44">
        <v>2</v>
      </c>
    </row>
    <row r="4" spans="1:7" ht="30" customHeight="1">
      <c r="A4" s="34" t="s">
        <v>313</v>
      </c>
      <c r="B4" s="44">
        <v>1</v>
      </c>
    </row>
    <row r="5" spans="1:7" ht="30" customHeight="1">
      <c r="A5" s="34" t="s">
        <v>314</v>
      </c>
      <c r="B5" s="44">
        <v>1</v>
      </c>
      <c r="C5" s="1"/>
      <c r="D5" s="2"/>
      <c r="E5" s="2"/>
    </row>
    <row r="6" spans="1:7" ht="30" customHeight="1">
      <c r="A6" s="34" t="s">
        <v>315</v>
      </c>
      <c r="B6" s="44">
        <v>1</v>
      </c>
      <c r="C6" s="1"/>
      <c r="D6" s="2"/>
      <c r="E6" s="2"/>
    </row>
    <row r="7" spans="1:7" ht="16">
      <c r="A7" s="37" t="s">
        <v>66</v>
      </c>
      <c r="B7" s="38">
        <f>SUM(B3:B6)</f>
        <v>5</v>
      </c>
      <c r="G7" s="41"/>
    </row>
    <row r="9" spans="1:7">
      <c r="A9" s="4"/>
    </row>
    <row r="17" spans="7:7">
      <c r="G17" t="s">
        <v>8</v>
      </c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9"/>
  <sheetViews>
    <sheetView view="pageBreakPreview" zoomScale="80" zoomScaleNormal="60" zoomScaleSheetLayoutView="80" workbookViewId="0">
      <selection activeCell="G17" sqref="G17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8">
      <c r="A1" s="1"/>
      <c r="B1" s="1"/>
    </row>
    <row r="2" spans="1:8">
      <c r="A2" s="36" t="s">
        <v>63</v>
      </c>
      <c r="B2" s="36" t="s">
        <v>26</v>
      </c>
    </row>
    <row r="3" spans="1:8" ht="30" customHeight="1">
      <c r="A3" s="34" t="s">
        <v>28</v>
      </c>
      <c r="B3" s="44">
        <v>1</v>
      </c>
    </row>
    <row r="4" spans="1:8" ht="30" customHeight="1">
      <c r="A4" s="34" t="s">
        <v>77</v>
      </c>
      <c r="B4" s="44">
        <v>2</v>
      </c>
    </row>
    <row r="5" spans="1:8" ht="30" customHeight="1">
      <c r="A5" s="34" t="s">
        <v>60</v>
      </c>
      <c r="B5" s="44">
        <v>1</v>
      </c>
      <c r="C5" s="1"/>
      <c r="D5" s="2"/>
      <c r="E5" s="2"/>
    </row>
    <row r="6" spans="1:8" ht="30" customHeight="1">
      <c r="A6" s="34" t="s">
        <v>201</v>
      </c>
      <c r="B6" s="44">
        <v>1</v>
      </c>
      <c r="D6" s="3"/>
      <c r="E6" s="3"/>
      <c r="G6" s="1"/>
      <c r="H6" s="1"/>
    </row>
    <row r="7" spans="1:8" ht="16">
      <c r="A7" s="37" t="s">
        <v>66</v>
      </c>
      <c r="B7" s="38">
        <f>SUM(B3:B6)</f>
        <v>5</v>
      </c>
      <c r="G7" s="41"/>
    </row>
    <row r="9" spans="1:8">
      <c r="A9" s="4"/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3"/>
  <sheetViews>
    <sheetView view="pageBreakPreview" zoomScale="80" zoomScaleNormal="60" zoomScaleSheetLayoutView="80" workbookViewId="0">
      <selection activeCell="J4" sqref="J4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8">
      <c r="A1" s="1"/>
      <c r="B1" s="1"/>
    </row>
    <row r="2" spans="1:8">
      <c r="A2" s="36" t="s">
        <v>63</v>
      </c>
      <c r="B2" s="36" t="s">
        <v>26</v>
      </c>
    </row>
    <row r="3" spans="1:8" ht="30" customHeight="1">
      <c r="A3" s="34" t="s">
        <v>159</v>
      </c>
      <c r="B3" s="44">
        <v>1</v>
      </c>
    </row>
    <row r="4" spans="1:8" ht="30" customHeight="1">
      <c r="A4" s="34" t="s">
        <v>160</v>
      </c>
      <c r="B4" s="44">
        <v>2</v>
      </c>
    </row>
    <row r="5" spans="1:8" ht="30" customHeight="1">
      <c r="A5" s="34" t="s">
        <v>19</v>
      </c>
      <c r="B5" s="44">
        <v>3</v>
      </c>
      <c r="C5" s="1"/>
      <c r="D5" s="2"/>
      <c r="E5" s="2"/>
    </row>
    <row r="6" spans="1:8" ht="30" customHeight="1">
      <c r="A6" s="34" t="s">
        <v>161</v>
      </c>
      <c r="B6" s="44">
        <v>2</v>
      </c>
      <c r="D6" s="3"/>
      <c r="E6" s="3"/>
      <c r="G6" s="1"/>
      <c r="H6" s="1"/>
    </row>
    <row r="7" spans="1:8" ht="30" customHeight="1">
      <c r="A7" s="34" t="s">
        <v>64</v>
      </c>
      <c r="B7" s="44">
        <v>3</v>
      </c>
      <c r="G7" s="40"/>
    </row>
    <row r="8" spans="1:8" ht="30" customHeight="1">
      <c r="A8" s="34" t="s">
        <v>78</v>
      </c>
      <c r="B8" s="44">
        <v>4</v>
      </c>
      <c r="G8" s="40"/>
    </row>
    <row r="9" spans="1:8" ht="30" customHeight="1">
      <c r="A9" s="34" t="s">
        <v>163</v>
      </c>
      <c r="B9" s="44">
        <v>1</v>
      </c>
      <c r="G9" s="40"/>
    </row>
    <row r="10" spans="1:8" ht="30" customHeight="1">
      <c r="A10" s="34" t="s">
        <v>164</v>
      </c>
      <c r="B10" s="44">
        <v>2</v>
      </c>
      <c r="G10" s="40"/>
    </row>
    <row r="11" spans="1:8" ht="16">
      <c r="A11" s="37" t="s">
        <v>66</v>
      </c>
      <c r="B11" s="38">
        <f>SUM(B3:B10)</f>
        <v>18</v>
      </c>
      <c r="G11" s="41"/>
    </row>
    <row r="13" spans="1:8">
      <c r="A13" s="4"/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9"/>
  <sheetViews>
    <sheetView view="pageBreakPreview" zoomScale="80" zoomScaleNormal="60" zoomScaleSheetLayoutView="80" workbookViewId="0">
      <selection activeCell="J4" sqref="J4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7">
      <c r="A1" s="1"/>
      <c r="B1" s="1"/>
    </row>
    <row r="2" spans="1:7">
      <c r="A2" s="36" t="s">
        <v>63</v>
      </c>
      <c r="B2" s="36" t="s">
        <v>26</v>
      </c>
    </row>
    <row r="3" spans="1:7" ht="30" customHeight="1">
      <c r="A3" s="34" t="s">
        <v>165</v>
      </c>
      <c r="B3" s="44">
        <v>1</v>
      </c>
      <c r="G3" s="40"/>
    </row>
    <row r="4" spans="1:7" ht="30" customHeight="1">
      <c r="A4" s="34" t="s">
        <v>166</v>
      </c>
      <c r="B4" s="44">
        <v>2</v>
      </c>
      <c r="G4" s="40"/>
    </row>
    <row r="5" spans="1:7" ht="30" customHeight="1">
      <c r="A5" s="34" t="s">
        <v>156</v>
      </c>
      <c r="B5" s="44">
        <v>1</v>
      </c>
      <c r="G5" s="40"/>
    </row>
    <row r="6" spans="1:7" ht="30" customHeight="1">
      <c r="A6" s="34" t="s">
        <v>169</v>
      </c>
      <c r="B6" s="44">
        <v>1</v>
      </c>
      <c r="G6" s="40"/>
    </row>
    <row r="7" spans="1:7" ht="16">
      <c r="A7" s="37" t="s">
        <v>66</v>
      </c>
      <c r="B7" s="38">
        <f>SUM(B3:B6)</f>
        <v>5</v>
      </c>
      <c r="G7" s="41"/>
    </row>
    <row r="9" spans="1:7">
      <c r="A9" s="4"/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0"/>
  <sheetViews>
    <sheetView view="pageBreakPreview" zoomScale="80" zoomScaleNormal="60" zoomScaleSheetLayoutView="80" workbookViewId="0">
      <selection activeCell="A3" sqref="A3:XFD3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8">
      <c r="A1" s="1"/>
      <c r="B1" s="1"/>
    </row>
    <row r="2" spans="1:8">
      <c r="A2" s="36" t="s">
        <v>63</v>
      </c>
      <c r="B2" s="36" t="s">
        <v>26</v>
      </c>
    </row>
    <row r="3" spans="1:8" ht="30" customHeight="1">
      <c r="A3" s="34" t="s">
        <v>162</v>
      </c>
      <c r="B3" s="44">
        <v>1</v>
      </c>
      <c r="D3" s="3"/>
      <c r="E3" s="3"/>
      <c r="G3" s="39"/>
      <c r="H3" s="1"/>
    </row>
    <row r="4" spans="1:8" ht="30" customHeight="1">
      <c r="A4" s="34" t="s">
        <v>165</v>
      </c>
      <c r="B4" s="44">
        <v>1</v>
      </c>
      <c r="G4" s="40"/>
    </row>
    <row r="5" spans="1:8" ht="30" customHeight="1">
      <c r="A5" s="34" t="s">
        <v>166</v>
      </c>
      <c r="B5" s="44">
        <v>2</v>
      </c>
      <c r="G5" s="40"/>
    </row>
    <row r="6" spans="1:8" ht="30" customHeight="1">
      <c r="A6" s="34" t="s">
        <v>156</v>
      </c>
      <c r="B6" s="44">
        <v>1</v>
      </c>
      <c r="G6" s="40"/>
    </row>
    <row r="7" spans="1:8" ht="30" customHeight="1">
      <c r="A7" s="34" t="s">
        <v>169</v>
      </c>
      <c r="B7" s="44">
        <v>1</v>
      </c>
      <c r="G7" s="40"/>
    </row>
    <row r="8" spans="1:8" ht="16">
      <c r="A8" s="37" t="s">
        <v>66</v>
      </c>
      <c r="B8" s="38">
        <f>SUM(B3:B7)</f>
        <v>6</v>
      </c>
      <c r="G8" s="41"/>
    </row>
    <row r="10" spans="1:8">
      <c r="A10" s="4"/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6"/>
  <sheetViews>
    <sheetView view="pageBreakPreview" zoomScale="80" zoomScaleNormal="60" zoomScaleSheetLayoutView="80" workbookViewId="0">
      <selection activeCell="H10" sqref="H10"/>
    </sheetView>
  </sheetViews>
  <sheetFormatPr baseColWidth="10" defaultColWidth="8.83203125" defaultRowHeight="15"/>
  <cols>
    <col min="1" max="1" width="22.5" customWidth="1"/>
    <col min="2" max="2" width="13.5" bestFit="1" customWidth="1"/>
    <col min="4" max="4" width="22.5" customWidth="1"/>
    <col min="7" max="7" width="24.1640625" customWidth="1"/>
    <col min="8" max="8" width="27.83203125" customWidth="1"/>
  </cols>
  <sheetData>
    <row r="1" spans="1:8">
      <c r="A1" s="1"/>
      <c r="B1" s="1"/>
    </row>
    <row r="2" spans="1:8">
      <c r="A2" s="36" t="s">
        <v>63</v>
      </c>
      <c r="B2" s="36" t="s">
        <v>26</v>
      </c>
    </row>
    <row r="3" spans="1:8" ht="30" customHeight="1">
      <c r="A3" s="34" t="s">
        <v>73</v>
      </c>
      <c r="B3" s="44">
        <v>3</v>
      </c>
    </row>
    <row r="4" spans="1:8" ht="30" customHeight="1">
      <c r="A4" s="34" t="s">
        <v>100</v>
      </c>
      <c r="B4" s="44">
        <v>2</v>
      </c>
    </row>
    <row r="5" spans="1:8" ht="30" customHeight="1">
      <c r="A5" s="34" t="s">
        <v>29</v>
      </c>
      <c r="B5" s="44">
        <v>4</v>
      </c>
      <c r="C5" s="1"/>
      <c r="D5" s="2"/>
      <c r="E5" s="2"/>
    </row>
    <row r="6" spans="1:8" ht="30" customHeight="1">
      <c r="A6" s="34" t="s">
        <v>81</v>
      </c>
      <c r="B6" s="44">
        <v>5</v>
      </c>
      <c r="D6" s="3"/>
      <c r="E6" s="3"/>
      <c r="G6" s="1"/>
      <c r="H6" s="1"/>
    </row>
    <row r="7" spans="1:8" ht="30" customHeight="1">
      <c r="A7" s="34" t="s">
        <v>167</v>
      </c>
      <c r="B7" s="44">
        <v>2</v>
      </c>
      <c r="D7" s="3"/>
      <c r="E7" s="3"/>
      <c r="G7" s="39"/>
      <c r="H7" s="1"/>
    </row>
    <row r="8" spans="1:8" ht="30" customHeight="1">
      <c r="A8" s="34" t="s">
        <v>123</v>
      </c>
      <c r="B8" s="44">
        <v>1</v>
      </c>
      <c r="G8" s="40"/>
    </row>
    <row r="9" spans="1:8" ht="30" customHeight="1">
      <c r="A9" s="34" t="s">
        <v>168</v>
      </c>
      <c r="B9" s="44">
        <v>1</v>
      </c>
      <c r="G9" s="40"/>
    </row>
    <row r="10" spans="1:8" ht="30" customHeight="1">
      <c r="A10" s="34" t="s">
        <v>133</v>
      </c>
      <c r="B10" s="44">
        <v>1</v>
      </c>
      <c r="G10" s="40"/>
    </row>
    <row r="11" spans="1:8" ht="30" customHeight="1">
      <c r="A11" s="34" t="s">
        <v>138</v>
      </c>
      <c r="B11" s="44">
        <v>1</v>
      </c>
      <c r="G11" s="40"/>
    </row>
    <row r="12" spans="1:8" ht="30" customHeight="1">
      <c r="A12" s="34" t="s">
        <v>53</v>
      </c>
      <c r="B12" s="44">
        <v>1</v>
      </c>
      <c r="G12" s="40"/>
    </row>
    <row r="13" spans="1:8" ht="30" customHeight="1">
      <c r="A13" s="34" t="s">
        <v>9</v>
      </c>
      <c r="B13" s="44">
        <v>1</v>
      </c>
      <c r="G13" s="40"/>
    </row>
    <row r="14" spans="1:8" ht="16">
      <c r="A14" s="37" t="s">
        <v>66</v>
      </c>
      <c r="B14" s="38">
        <f>SUM(B3:B13)</f>
        <v>22</v>
      </c>
      <c r="G14" s="41"/>
    </row>
    <row r="16" spans="1:8">
      <c r="A16" s="4"/>
    </row>
  </sheetData>
  <pageMargins left="0.7" right="0.7" top="0.75" bottom="0.75" header="0.3" footer="0.3"/>
  <pageSetup scale="77" orientation="landscape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30</vt:i4>
      </vt:variant>
    </vt:vector>
  </HeadingPairs>
  <TitlesOfParts>
    <vt:vector size="60" baseType="lpstr">
      <vt:lpstr>Daftar CCR quality</vt:lpstr>
      <vt:lpstr>Grafik tahunan</vt:lpstr>
      <vt:lpstr>Grafik Cust des quality </vt:lpstr>
      <vt:lpstr>Grafik Defect Dec quality </vt:lpstr>
      <vt:lpstr>Grafik Defect Nov quality (2)</vt:lpstr>
      <vt:lpstr>Grafik Cust Nov quality  (2)</vt:lpstr>
      <vt:lpstr>Daftar CCR Warehouse (2)</vt:lpstr>
      <vt:lpstr>Daftar CCR servise (3)</vt:lpstr>
      <vt:lpstr>Grafik Cust Oct quality </vt:lpstr>
      <vt:lpstr>Grafik Defect Oct quality</vt:lpstr>
      <vt:lpstr>Grafik Defect Sep quality </vt:lpstr>
      <vt:lpstr>Grafik Cust Sep quality  </vt:lpstr>
      <vt:lpstr>Grafik cust Aug quality  </vt:lpstr>
      <vt:lpstr>Grafik Defect Aug quality</vt:lpstr>
      <vt:lpstr>Grafik cust Juli quality  (2)</vt:lpstr>
      <vt:lpstr>Grafik Defect Juli quality</vt:lpstr>
      <vt:lpstr>Grafik cust Juli quality </vt:lpstr>
      <vt:lpstr>Grafik cust Juni quality </vt:lpstr>
      <vt:lpstr>Grafik Defect Juni quality</vt:lpstr>
      <vt:lpstr>Grafik Defect Mei quality</vt:lpstr>
      <vt:lpstr>Grafik cust Mei quality</vt:lpstr>
      <vt:lpstr>Grafik cust Mar quality (2)</vt:lpstr>
      <vt:lpstr>Grafik defect Mar quality</vt:lpstr>
      <vt:lpstr>Grafik Cust Mar WH (3)</vt:lpstr>
      <vt:lpstr>Grafik defect Apr WH (2)</vt:lpstr>
      <vt:lpstr>Grafik defect feb quality</vt:lpstr>
      <vt:lpstr>Grafik defect Januari quali (2)</vt:lpstr>
      <vt:lpstr>Grafik defect Jan WH</vt:lpstr>
      <vt:lpstr>Grafik defect Januari (3)</vt:lpstr>
      <vt:lpstr>Grafik Cust Januari</vt:lpstr>
      <vt:lpstr>'Daftar CCR quality'!Print_Area</vt:lpstr>
      <vt:lpstr>'Daftar CCR servise (3)'!Print_Area</vt:lpstr>
      <vt:lpstr>'Daftar CCR Warehouse (2)'!Print_Area</vt:lpstr>
      <vt:lpstr>'Grafik cust Aug quality  '!Print_Area</vt:lpstr>
      <vt:lpstr>'Grafik Cust des quality '!Print_Area</vt:lpstr>
      <vt:lpstr>'Grafik cust Juli quality '!Print_Area</vt:lpstr>
      <vt:lpstr>'Grafik cust Juli quality  (2)'!Print_Area</vt:lpstr>
      <vt:lpstr>'Grafik cust Juni quality '!Print_Area</vt:lpstr>
      <vt:lpstr>'Grafik cust Mar quality (2)'!Print_Area</vt:lpstr>
      <vt:lpstr>'Grafik Cust Mar WH (3)'!Print_Area</vt:lpstr>
      <vt:lpstr>'Grafik cust Mei quality'!Print_Area</vt:lpstr>
      <vt:lpstr>'Grafik Cust Nov quality  (2)'!Print_Area</vt:lpstr>
      <vt:lpstr>'Grafik Cust Oct quality '!Print_Area</vt:lpstr>
      <vt:lpstr>'Grafik Cust Sep quality  '!Print_Area</vt:lpstr>
      <vt:lpstr>'Grafik defect Apr WH (2)'!Print_Area</vt:lpstr>
      <vt:lpstr>'Grafik Defect Aug quality'!Print_Area</vt:lpstr>
      <vt:lpstr>'Grafik Defect Dec quality '!Print_Area</vt:lpstr>
      <vt:lpstr>'Grafik defect feb quality'!Print_Area</vt:lpstr>
      <vt:lpstr>'Grafik defect Jan WH'!Print_Area</vt:lpstr>
      <vt:lpstr>'Grafik Defect Juli quality'!Print_Area</vt:lpstr>
      <vt:lpstr>'Grafik Defect Juni quality'!Print_Area</vt:lpstr>
      <vt:lpstr>'Grafik defect Mar quality'!Print_Area</vt:lpstr>
      <vt:lpstr>'Grafik Defect Mei quality'!Print_Area</vt:lpstr>
      <vt:lpstr>'Grafik Defect Nov quality (2)'!Print_Area</vt:lpstr>
      <vt:lpstr>'Grafik Defect Oct quality'!Print_Area</vt:lpstr>
      <vt:lpstr>'Grafik Defect Sep quality '!Print_Area</vt:lpstr>
      <vt:lpstr>'Grafik tahunan'!Print_Area</vt:lpstr>
      <vt:lpstr>'Daftar CCR quality'!Print_Titles</vt:lpstr>
      <vt:lpstr>'Daftar CCR servise (3)'!Print_Titles</vt:lpstr>
      <vt:lpstr>'Daftar CCR Warehouse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2026-01-17T03:14:21Z</cp:lastPrinted>
  <dcterms:created xsi:type="dcterms:W3CDTF">2023-02-17T03:15:56Z</dcterms:created>
  <dcterms:modified xsi:type="dcterms:W3CDTF">2026-06-16T10:52:53Z</dcterms:modified>
</cp:coreProperties>
</file>